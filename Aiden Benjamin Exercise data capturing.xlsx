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b56306c4f2b9732d/Desktop/Online Self-Paced Intensive Bookkeeping Class/Week 03 Accounting systems ^0 Excel Basics/Excel Data Capturing Excersise/"/>
    </mc:Choice>
  </mc:AlternateContent>
  <xr:revisionPtr revIDLastSave="1052" documentId="8_{6B9176A2-1A7A-4AE4-8863-6CE440A318AC}" xr6:coauthVersionLast="47" xr6:coauthVersionMax="47" xr10:uidLastSave="{2CD31C8A-4A0F-4D68-BA44-CEE58F1586E5}"/>
  <bookViews>
    <workbookView xWindow="-120" yWindow="-120" windowWidth="29040" windowHeight="15720" activeTab="2" xr2:uid="{00000000-000D-0000-FFFF-FFFF00000000}"/>
  </bookViews>
  <sheets>
    <sheet name="Income Statement" sheetId="4" r:id="rId1"/>
    <sheet name="Balance Sheet" sheetId="5" r:id="rId2"/>
    <sheet name="12 month Cashflow Statement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5" l="1"/>
  <c r="E38" i="5"/>
  <c r="E33" i="5"/>
  <c r="E21" i="5"/>
  <c r="E17" i="5"/>
  <c r="E11" i="5"/>
  <c r="C41" i="1"/>
  <c r="C31" i="1"/>
  <c r="C20" i="1"/>
  <c r="E33" i="4"/>
  <c r="E35" i="4" s="1"/>
  <c r="E36" i="4" s="1"/>
  <c r="D33" i="4"/>
  <c r="E10" i="4"/>
  <c r="D10" i="4"/>
  <c r="C43" i="1" l="1"/>
  <c r="C8" i="1" s="1"/>
  <c r="D7" i="1" s="1"/>
  <c r="E45" i="5"/>
  <c r="E23" i="5"/>
  <c r="D35" i="4"/>
  <c r="E38" i="4"/>
  <c r="D36" i="4"/>
  <c r="D38" i="4" s="1"/>
</calcChain>
</file>

<file path=xl/sharedStrings.xml><?xml version="1.0" encoding="utf-8"?>
<sst xmlns="http://schemas.openxmlformats.org/spreadsheetml/2006/main" count="128" uniqueCount="119">
  <si>
    <t>Revenue</t>
  </si>
  <si>
    <t>Expenses</t>
  </si>
  <si>
    <t>Total Expenses</t>
  </si>
  <si>
    <t>ABC Company</t>
  </si>
  <si>
    <t>(Less sales returns and allowances)</t>
  </si>
  <si>
    <t xml:space="preserve">Service revenue </t>
  </si>
  <si>
    <t>Interest revenue</t>
  </si>
  <si>
    <t>Other revenue</t>
  </si>
  <si>
    <t xml:space="preserve">Total Revenues </t>
  </si>
  <si>
    <t>Advertising</t>
  </si>
  <si>
    <t>Bad debt</t>
  </si>
  <si>
    <t>Commissions</t>
  </si>
  <si>
    <t>Cost of goods sold</t>
  </si>
  <si>
    <t>Depreciation</t>
  </si>
  <si>
    <t>Employee benefits</t>
  </si>
  <si>
    <t>Furniture and equipment</t>
  </si>
  <si>
    <t>Insurance</t>
  </si>
  <si>
    <t>Maintenance and repairs</t>
  </si>
  <si>
    <t>Interest expense</t>
  </si>
  <si>
    <t>Office supplies</t>
  </si>
  <si>
    <t>Payroll taxes</t>
  </si>
  <si>
    <t>Rent</t>
  </si>
  <si>
    <t>Income Statement</t>
  </si>
  <si>
    <t>For the Years Ending [Dec 31, 2022 and Dec 31, 2021 ]</t>
  </si>
  <si>
    <t>Research and development</t>
  </si>
  <si>
    <t>Salaries and wages</t>
  </si>
  <si>
    <t>Software</t>
  </si>
  <si>
    <t>Travel</t>
  </si>
  <si>
    <t xml:space="preserve">Utilities </t>
  </si>
  <si>
    <t xml:space="preserve">Web hosting and domains </t>
  </si>
  <si>
    <t>Other</t>
  </si>
  <si>
    <t>Income tax expenses</t>
  </si>
  <si>
    <t xml:space="preserve"> </t>
  </si>
  <si>
    <t>Net Income/Net Profit</t>
  </si>
  <si>
    <t>[Company Name]</t>
  </si>
  <si>
    <t>12-Month Cash Flow</t>
  </si>
  <si>
    <t>Operations</t>
  </si>
  <si>
    <t xml:space="preserve">Cash receipts from </t>
  </si>
  <si>
    <t>Customers</t>
  </si>
  <si>
    <t>Other operations</t>
  </si>
  <si>
    <t xml:space="preserve">Cash paid for </t>
  </si>
  <si>
    <t>Net Cash Flow from Operations</t>
  </si>
  <si>
    <t xml:space="preserve">Investing Activities </t>
  </si>
  <si>
    <t>Sale of property and equipment</t>
  </si>
  <si>
    <t>Collection of principal on loans</t>
  </si>
  <si>
    <t>Purchase of property and equipment</t>
  </si>
  <si>
    <t>Net Cash Flow from Investing Activities</t>
  </si>
  <si>
    <t>Borrowing</t>
  </si>
  <si>
    <t>Repurchase of stock (treasury stock)</t>
  </si>
  <si>
    <t xml:space="preserve">Period Ending </t>
  </si>
  <si>
    <t xml:space="preserve">Cash at End of Period </t>
  </si>
  <si>
    <t xml:space="preserve">Cash at Beginning of Period </t>
  </si>
  <si>
    <t>Jan'20</t>
  </si>
  <si>
    <t>Feb'20</t>
  </si>
  <si>
    <t>Mar'20</t>
  </si>
  <si>
    <t>Apr'20</t>
  </si>
  <si>
    <t>May'20</t>
  </si>
  <si>
    <t>Jun'20</t>
  </si>
  <si>
    <t>Jul'20</t>
  </si>
  <si>
    <t>Aug'20</t>
  </si>
  <si>
    <t>Sep'20</t>
  </si>
  <si>
    <t>Oct'20</t>
  </si>
  <si>
    <t>Nov'20</t>
  </si>
  <si>
    <t>Dec'20</t>
  </si>
  <si>
    <t>Inventory purchases</t>
  </si>
  <si>
    <t>General operating and admin expenses</t>
  </si>
  <si>
    <t>Wage expenses</t>
  </si>
  <si>
    <t>Interest</t>
  </si>
  <si>
    <t>Income taxes</t>
  </si>
  <si>
    <t>Sale of investment securities</t>
  </si>
  <si>
    <t xml:space="preserve">Making loans to other entities </t>
  </si>
  <si>
    <t>Purchase of investment securities</t>
  </si>
  <si>
    <t>Financing Activities</t>
  </si>
  <si>
    <t>Issuance of stock</t>
  </si>
  <si>
    <t>Repayment of loans</t>
  </si>
  <si>
    <t>Dividends</t>
  </si>
  <si>
    <t>Net Cash Flow from Financing Activities</t>
  </si>
  <si>
    <t>Net Cash Flow</t>
  </si>
  <si>
    <t>Net Profit/(Loss)</t>
  </si>
  <si>
    <t>Assets</t>
  </si>
  <si>
    <t>Current Assets</t>
  </si>
  <si>
    <t>Fixed (Long-Term) Assets</t>
  </si>
  <si>
    <t>Other Assets</t>
  </si>
  <si>
    <t>Total current assets</t>
  </si>
  <si>
    <t>Cash</t>
  </si>
  <si>
    <t>Accounts receivable</t>
  </si>
  <si>
    <t xml:space="preserve">Inventory  </t>
  </si>
  <si>
    <t>Prepaid expenses</t>
  </si>
  <si>
    <t>Short-term investments</t>
  </si>
  <si>
    <t>Long-term investments</t>
  </si>
  <si>
    <t>Property, plant, and equipment</t>
  </si>
  <si>
    <t>(Less accumulated depreciation)</t>
  </si>
  <si>
    <t xml:space="preserve">Intangible assets </t>
  </si>
  <si>
    <t>Deferred income tax</t>
  </si>
  <si>
    <t xml:space="preserve">Other </t>
  </si>
  <si>
    <t>Total Other assets</t>
  </si>
  <si>
    <t>Total fixed assets</t>
  </si>
  <si>
    <t>Total Assets</t>
  </si>
  <si>
    <t xml:space="preserve">Balance Sheet </t>
  </si>
  <si>
    <t xml:space="preserve">Date: 31/12/2022 </t>
  </si>
  <si>
    <t>Liabilities and Owner's Equity</t>
  </si>
  <si>
    <t>Current Liabilities</t>
  </si>
  <si>
    <t>Long-Term Liabilities</t>
  </si>
  <si>
    <t>Owner's Equity</t>
  </si>
  <si>
    <t>Total Liabilities and Owner's Equity</t>
  </si>
  <si>
    <t xml:space="preserve">Accounts payable </t>
  </si>
  <si>
    <t xml:space="preserve">Short-term loans </t>
  </si>
  <si>
    <t xml:space="preserve">Income taxes payable </t>
  </si>
  <si>
    <t>Accrued salaries and wages</t>
  </si>
  <si>
    <t xml:space="preserve">Unearned revenue </t>
  </si>
  <si>
    <t>Current portion of long-term debt</t>
  </si>
  <si>
    <t>Total current liabilities</t>
  </si>
  <si>
    <t>Long-term debt</t>
  </si>
  <si>
    <t>Total long-term liabilities</t>
  </si>
  <si>
    <t>Owner's investment</t>
  </si>
  <si>
    <t>Retained earnings</t>
  </si>
  <si>
    <t>Total owner's equity</t>
  </si>
  <si>
    <t>Sales revenue</t>
  </si>
  <si>
    <t>Period Beginning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</si>
</sst>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R&quot;* #,##0.00_-;\-&quot;R&quot;* #,##0.00_-;_-&quot;R&quot;* &quot;-&quot;??_-;_-@_-"/>
    <numFmt numFmtId="164" formatCode="_-&quot;R&quot;* #,##0_-;\-&quot;R&quot;* #,##0_-;_-&quot;R&quot;* &quot;-&quot;??_-;_-@_-"/>
    <numFmt numFmtId="173" formatCode="m/d/yy;@"/>
    <numFmt numFmtId="177" formatCode="d/mm/yyyy;@"/>
    <numFmt numFmtId="180" formatCode="_-* #,##0_-;\-* #,##0_-;_-* &quot;-&quot;??_-;_-@_-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b/>
      <sz val="22"/>
      <color theme="4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4" tint="-0.249977111117893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0.5"/>
      <color theme="1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right"/>
    </xf>
    <xf numFmtId="4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9" fontId="0" fillId="0" borderId="0" xfId="1" applyFont="1" applyAlignment="1">
      <alignment horizontal="right"/>
    </xf>
    <xf numFmtId="1" fontId="0" fillId="0" borderId="0" xfId="0" applyNumberFormat="1"/>
    <xf numFmtId="0" fontId="0" fillId="2" borderId="0" xfId="0" applyFill="1"/>
    <xf numFmtId="0" fontId="0" fillId="2" borderId="2" xfId="0" applyFill="1" applyBorder="1"/>
    <xf numFmtId="0" fontId="0" fillId="2" borderId="3" xfId="0" applyFill="1" applyBorder="1"/>
    <xf numFmtId="0" fontId="7" fillId="0" borderId="0" xfId="0" applyFont="1"/>
    <xf numFmtId="0" fontId="4" fillId="0" borderId="0" xfId="0" applyFont="1" applyAlignment="1">
      <alignment horizontal="right"/>
    </xf>
    <xf numFmtId="0" fontId="2" fillId="0" borderId="0" xfId="0" applyFont="1" applyAlignment="1">
      <alignment horizontal="right"/>
    </xf>
    <xf numFmtId="164" fontId="0" fillId="2" borderId="0" xfId="0" applyNumberFormat="1" applyFill="1" applyAlignment="1">
      <alignment horizontal="right"/>
    </xf>
    <xf numFmtId="0" fontId="10" fillId="2" borderId="0" xfId="0" applyFont="1" applyFill="1"/>
    <xf numFmtId="0" fontId="7" fillId="2" borderId="0" xfId="0" applyFont="1" applyFill="1"/>
    <xf numFmtId="0" fontId="10" fillId="3" borderId="0" xfId="0" applyFont="1" applyFill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4" borderId="0" xfId="0" applyFont="1" applyFill="1"/>
    <xf numFmtId="164" fontId="9" fillId="4" borderId="0" xfId="0" applyNumberFormat="1" applyFont="1" applyFill="1" applyAlignment="1">
      <alignment horizontal="right"/>
    </xf>
    <xf numFmtId="0" fontId="8" fillId="4" borderId="0" xfId="0" applyFont="1" applyFill="1"/>
    <xf numFmtId="0" fontId="9" fillId="4" borderId="0" xfId="0" applyFont="1" applyFill="1" applyAlignment="1">
      <alignment horizontal="right"/>
    </xf>
    <xf numFmtId="0" fontId="11" fillId="0" borderId="0" xfId="0" applyFont="1" applyAlignment="1">
      <alignment horizontal="right"/>
    </xf>
    <xf numFmtId="164" fontId="10" fillId="2" borderId="0" xfId="0" applyNumberFormat="1" applyFont="1" applyFill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44" fontId="0" fillId="0" borderId="4" xfId="0" applyNumberFormat="1" applyBorder="1" applyAlignment="1">
      <alignment horizontal="right"/>
    </xf>
    <xf numFmtId="164" fontId="10" fillId="3" borderId="1" xfId="0" applyNumberFormat="1" applyFont="1" applyFill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10" fillId="3" borderId="0" xfId="0" applyNumberFormat="1" applyFont="1" applyFill="1" applyBorder="1" applyAlignment="1">
      <alignment horizontal="right"/>
    </xf>
    <xf numFmtId="0" fontId="12" fillId="3" borderId="0" xfId="0" applyFont="1" applyFill="1"/>
    <xf numFmtId="164" fontId="0" fillId="0" borderId="0" xfId="0" applyNumberFormat="1" applyBorder="1" applyAlignment="1">
      <alignment horizontal="right"/>
    </xf>
    <xf numFmtId="44" fontId="0" fillId="0" borderId="0" xfId="0" applyNumberFormat="1" applyBorder="1" applyAlignment="1">
      <alignment horizontal="right"/>
    </xf>
    <xf numFmtId="164" fontId="0" fillId="0" borderId="6" xfId="0" applyNumberFormat="1" applyBorder="1" applyAlignment="1">
      <alignment horizontal="right"/>
    </xf>
    <xf numFmtId="0" fontId="13" fillId="0" borderId="0" xfId="0" applyFont="1" applyAlignment="1">
      <alignment horizontal="right"/>
    </xf>
    <xf numFmtId="164" fontId="0" fillId="2" borderId="2" xfId="0" applyNumberFormat="1" applyFill="1" applyBorder="1" applyAlignment="1">
      <alignment horizontal="right"/>
    </xf>
    <xf numFmtId="0" fontId="11" fillId="0" borderId="0" xfId="0" applyFont="1" applyAlignment="1"/>
    <xf numFmtId="164" fontId="0" fillId="2" borderId="0" xfId="0" applyNumberFormat="1" applyFill="1" applyBorder="1" applyAlignment="1">
      <alignment horizontal="right"/>
    </xf>
    <xf numFmtId="0" fontId="14" fillId="0" borderId="0" xfId="0" applyFont="1" applyAlignment="1">
      <alignment horizontal="center"/>
    </xf>
    <xf numFmtId="1" fontId="0" fillId="0" borderId="4" xfId="0" applyNumberFormat="1" applyBorder="1"/>
    <xf numFmtId="0" fontId="0" fillId="0" borderId="4" xfId="0" applyBorder="1"/>
    <xf numFmtId="0" fontId="0" fillId="2" borderId="0" xfId="0" applyFill="1" applyAlignment="1">
      <alignment horizontal="left"/>
    </xf>
    <xf numFmtId="0" fontId="0" fillId="2" borderId="0" xfId="0" applyFill="1" applyAlignment="1">
      <alignment horizontal="left"/>
    </xf>
    <xf numFmtId="173" fontId="0" fillId="0" borderId="0" xfId="0" applyNumberFormat="1"/>
    <xf numFmtId="173" fontId="0" fillId="0" borderId="4" xfId="0" applyNumberFormat="1" applyBorder="1"/>
    <xf numFmtId="0" fontId="15" fillId="0" borderId="0" xfId="0" applyFont="1"/>
    <xf numFmtId="0" fontId="5" fillId="4" borderId="0" xfId="0" applyFont="1" applyFill="1" applyAlignment="1">
      <alignment horizontal="left"/>
    </xf>
    <xf numFmtId="0" fontId="5" fillId="4" borderId="0" xfId="0" applyFont="1" applyFill="1"/>
    <xf numFmtId="1" fontId="5" fillId="4" borderId="0" xfId="0" applyNumberFormat="1" applyFont="1" applyFill="1"/>
    <xf numFmtId="0" fontId="5" fillId="4" borderId="0" xfId="0" applyFont="1" applyFill="1" applyAlignment="1">
      <alignment horizontal="left"/>
    </xf>
    <xf numFmtId="0" fontId="0" fillId="3" borderId="0" xfId="0" applyFill="1" applyAlignment="1">
      <alignment horizontal="left"/>
    </xf>
    <xf numFmtId="177" fontId="0" fillId="0" borderId="4" xfId="0" applyNumberFormat="1" applyBorder="1"/>
    <xf numFmtId="180" fontId="0" fillId="0" borderId="4" xfId="0" applyNumberFormat="1" applyBorder="1"/>
    <xf numFmtId="180" fontId="0" fillId="0" borderId="0" xfId="0" applyNumberFormat="1"/>
    <xf numFmtId="180" fontId="0" fillId="2" borderId="2" xfId="0" applyNumberFormat="1" applyFill="1" applyBorder="1"/>
    <xf numFmtId="180" fontId="0" fillId="2" borderId="3" xfId="0" applyNumberFormat="1" applyFill="1" applyBorder="1"/>
    <xf numFmtId="164" fontId="2" fillId="3" borderId="7" xfId="0" applyNumberFormat="1" applyFont="1" applyFill="1" applyBorder="1" applyAlignment="1">
      <alignment horizontal="right"/>
    </xf>
    <xf numFmtId="180" fontId="2" fillId="3" borderId="1" xfId="0" applyNumberFormat="1" applyFont="1" applyFill="1" applyBorder="1"/>
    <xf numFmtId="0" fontId="2" fillId="3" borderId="1" xfId="0" applyFont="1" applyFill="1" applyBorder="1"/>
  </cellXfs>
  <cellStyles count="2">
    <cellStyle name="Normal" xfId="0" builtinId="0"/>
    <cellStyle name="Percent" xfId="1" builtinId="5"/>
  </cellStyles>
  <dxfs count="2"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75CA5-A951-422E-937A-76910869C637}">
  <dimension ref="A1:H40"/>
  <sheetViews>
    <sheetView workbookViewId="0">
      <selection activeCell="M13" sqref="M13"/>
    </sheetView>
  </sheetViews>
  <sheetFormatPr defaultRowHeight="15" x14ac:dyDescent="0.25"/>
  <cols>
    <col min="1" max="1" width="5.7109375" customWidth="1"/>
    <col min="2" max="2" width="32.5703125" bestFit="1" customWidth="1"/>
    <col min="3" max="3" width="18.85546875" customWidth="1"/>
    <col min="4" max="5" width="15.7109375" style="1" customWidth="1"/>
  </cols>
  <sheetData>
    <row r="1" spans="1:5" ht="28.5" x14ac:dyDescent="0.45">
      <c r="A1" s="17" t="s">
        <v>3</v>
      </c>
      <c r="B1" s="17"/>
      <c r="C1" s="22" t="s">
        <v>22</v>
      </c>
      <c r="D1" s="10"/>
      <c r="E1" s="10"/>
    </row>
    <row r="2" spans="1:5" x14ac:dyDescent="0.25">
      <c r="B2" s="11" t="s">
        <v>23</v>
      </c>
      <c r="C2" s="11"/>
      <c r="D2" s="11"/>
      <c r="E2" s="11"/>
    </row>
    <row r="4" spans="1:5" ht="21" x14ac:dyDescent="0.35">
      <c r="A4" s="18" t="s">
        <v>0</v>
      </c>
      <c r="B4" s="20"/>
      <c r="C4" s="20"/>
      <c r="D4" s="21">
        <v>2022</v>
      </c>
      <c r="E4" s="21">
        <v>2021</v>
      </c>
    </row>
    <row r="5" spans="1:5" x14ac:dyDescent="0.25">
      <c r="B5" t="s">
        <v>117</v>
      </c>
      <c r="D5" s="24">
        <v>110000</v>
      </c>
      <c r="E5" s="24">
        <v>95000</v>
      </c>
    </row>
    <row r="6" spans="1:5" x14ac:dyDescent="0.25">
      <c r="B6" t="s">
        <v>4</v>
      </c>
      <c r="D6" s="25">
        <v>0</v>
      </c>
      <c r="E6" s="25">
        <v>0</v>
      </c>
    </row>
    <row r="7" spans="1:5" x14ac:dyDescent="0.25">
      <c r="B7" t="s">
        <v>5</v>
      </c>
      <c r="D7" s="24">
        <v>70000</v>
      </c>
      <c r="E7" s="24">
        <v>62000</v>
      </c>
    </row>
    <row r="8" spans="1:5" x14ac:dyDescent="0.25">
      <c r="B8" t="s">
        <v>6</v>
      </c>
      <c r="D8" s="24">
        <v>0</v>
      </c>
      <c r="E8" s="24">
        <v>0</v>
      </c>
    </row>
    <row r="9" spans="1:5" x14ac:dyDescent="0.25">
      <c r="B9" t="s">
        <v>7</v>
      </c>
      <c r="D9" s="24">
        <v>0</v>
      </c>
      <c r="E9" s="24">
        <v>0</v>
      </c>
    </row>
    <row r="10" spans="1:5" ht="18.75" x14ac:dyDescent="0.3">
      <c r="A10" s="13" t="s">
        <v>8</v>
      </c>
      <c r="B10" s="13"/>
      <c r="C10" s="13"/>
      <c r="D10" s="23">
        <f>SUM(D5:D9)</f>
        <v>180000</v>
      </c>
      <c r="E10" s="23">
        <f>SUM(E5:E9)</f>
        <v>157000</v>
      </c>
    </row>
    <row r="11" spans="1:5" x14ac:dyDescent="0.25">
      <c r="D11" s="3">
        <v>0</v>
      </c>
      <c r="E11" s="3">
        <v>0</v>
      </c>
    </row>
    <row r="12" spans="1:5" ht="21" x14ac:dyDescent="0.35">
      <c r="A12" s="18" t="s">
        <v>1</v>
      </c>
      <c r="B12" s="18"/>
      <c r="C12" s="18"/>
      <c r="D12" s="19"/>
      <c r="E12" s="19"/>
    </row>
    <row r="13" spans="1:5" x14ac:dyDescent="0.25">
      <c r="B13" s="16" t="s">
        <v>9</v>
      </c>
      <c r="D13" s="24">
        <v>1000</v>
      </c>
      <c r="E13" s="24">
        <v>1000</v>
      </c>
    </row>
    <row r="14" spans="1:5" x14ac:dyDescent="0.25">
      <c r="B14" s="16" t="s">
        <v>10</v>
      </c>
      <c r="D14" s="24">
        <v>0</v>
      </c>
      <c r="E14" s="24">
        <v>0</v>
      </c>
    </row>
    <row r="15" spans="1:5" x14ac:dyDescent="0.25">
      <c r="B15" s="16" t="s">
        <v>11</v>
      </c>
      <c r="D15" s="24">
        <v>0</v>
      </c>
      <c r="E15" s="24">
        <v>0</v>
      </c>
    </row>
    <row r="16" spans="1:5" x14ac:dyDescent="0.25">
      <c r="B16" s="16" t="s">
        <v>12</v>
      </c>
      <c r="D16" s="24">
        <v>65000</v>
      </c>
      <c r="E16" s="24">
        <v>63000</v>
      </c>
    </row>
    <row r="17" spans="2:5" x14ac:dyDescent="0.25">
      <c r="B17" s="16" t="s">
        <v>13</v>
      </c>
      <c r="D17" s="24">
        <v>0</v>
      </c>
      <c r="E17" s="24">
        <v>0</v>
      </c>
    </row>
    <row r="18" spans="2:5" x14ac:dyDescent="0.25">
      <c r="B18" s="16" t="s">
        <v>14</v>
      </c>
      <c r="D18" s="24">
        <v>0</v>
      </c>
      <c r="E18" s="24">
        <v>0</v>
      </c>
    </row>
    <row r="19" spans="2:5" x14ac:dyDescent="0.25">
      <c r="B19" s="16" t="s">
        <v>15</v>
      </c>
      <c r="D19" s="24">
        <v>0</v>
      </c>
      <c r="E19" s="24">
        <v>0</v>
      </c>
    </row>
    <row r="20" spans="2:5" x14ac:dyDescent="0.25">
      <c r="B20" s="16" t="s">
        <v>16</v>
      </c>
      <c r="D20" s="24">
        <v>0</v>
      </c>
      <c r="E20" s="24">
        <v>8000</v>
      </c>
    </row>
    <row r="21" spans="2:5" x14ac:dyDescent="0.25">
      <c r="B21" s="16" t="s">
        <v>18</v>
      </c>
      <c r="D21" s="24">
        <v>4200</v>
      </c>
      <c r="E21" s="24">
        <v>5200</v>
      </c>
    </row>
    <row r="22" spans="2:5" x14ac:dyDescent="0.25">
      <c r="B22" s="16" t="s">
        <v>17</v>
      </c>
      <c r="D22" s="24">
        <v>0</v>
      </c>
      <c r="E22" s="24">
        <v>0</v>
      </c>
    </row>
    <row r="23" spans="2:5" x14ac:dyDescent="0.25">
      <c r="B23" s="16" t="s">
        <v>19</v>
      </c>
      <c r="D23" s="24">
        <v>0</v>
      </c>
      <c r="E23" s="24">
        <v>0</v>
      </c>
    </row>
    <row r="24" spans="2:5" x14ac:dyDescent="0.25">
      <c r="B24" s="16" t="s">
        <v>20</v>
      </c>
      <c r="D24" s="24">
        <v>0</v>
      </c>
      <c r="E24" s="24">
        <v>0</v>
      </c>
    </row>
    <row r="25" spans="2:5" x14ac:dyDescent="0.25">
      <c r="B25" s="16" t="s">
        <v>21</v>
      </c>
      <c r="D25" s="24">
        <v>0</v>
      </c>
      <c r="E25" s="24">
        <v>0</v>
      </c>
    </row>
    <row r="26" spans="2:5" x14ac:dyDescent="0.25">
      <c r="B26" s="16" t="s">
        <v>24</v>
      </c>
      <c r="D26" s="24">
        <v>0</v>
      </c>
      <c r="E26" s="24">
        <v>0</v>
      </c>
    </row>
    <row r="27" spans="2:5" x14ac:dyDescent="0.25">
      <c r="B27" s="16" t="s">
        <v>25</v>
      </c>
      <c r="D27" s="24">
        <v>55000</v>
      </c>
      <c r="E27" s="24">
        <v>55000</v>
      </c>
    </row>
    <row r="28" spans="2:5" x14ac:dyDescent="0.25">
      <c r="B28" s="16" t="s">
        <v>26</v>
      </c>
      <c r="D28" s="24">
        <v>0</v>
      </c>
      <c r="E28" s="24">
        <v>0</v>
      </c>
    </row>
    <row r="29" spans="2:5" x14ac:dyDescent="0.25">
      <c r="B29" s="16" t="s">
        <v>27</v>
      </c>
      <c r="D29" s="24">
        <v>0</v>
      </c>
      <c r="E29" s="24">
        <v>0</v>
      </c>
    </row>
    <row r="30" spans="2:5" x14ac:dyDescent="0.25">
      <c r="B30" s="16" t="s">
        <v>28</v>
      </c>
      <c r="D30" s="24">
        <v>0</v>
      </c>
      <c r="E30" s="24">
        <v>0</v>
      </c>
    </row>
    <row r="31" spans="2:5" x14ac:dyDescent="0.25">
      <c r="B31" s="16" t="s">
        <v>29</v>
      </c>
      <c r="D31" s="24">
        <v>0</v>
      </c>
      <c r="E31" s="24">
        <v>0</v>
      </c>
    </row>
    <row r="32" spans="2:5" x14ac:dyDescent="0.25">
      <c r="B32" s="16" t="s">
        <v>30</v>
      </c>
      <c r="D32" s="27">
        <v>17460</v>
      </c>
      <c r="E32" s="27">
        <v>0</v>
      </c>
    </row>
    <row r="33" spans="1:8" ht="18.75" x14ac:dyDescent="0.3">
      <c r="A33" s="13" t="s">
        <v>2</v>
      </c>
      <c r="B33" s="14"/>
      <c r="C33" s="14"/>
      <c r="D33" s="23">
        <f>SUM(D12:D32)</f>
        <v>142660</v>
      </c>
      <c r="E33" s="23">
        <f>SUM(E12:E32)</f>
        <v>132200</v>
      </c>
    </row>
    <row r="34" spans="1:8" x14ac:dyDescent="0.25">
      <c r="D34" s="3">
        <v>0</v>
      </c>
      <c r="E34" s="3">
        <v>0</v>
      </c>
    </row>
    <row r="35" spans="1:8" x14ac:dyDescent="0.25">
      <c r="B35" s="6" t="s">
        <v>33</v>
      </c>
      <c r="C35" s="6"/>
      <c r="D35" s="12">
        <f>D10-D33</f>
        <v>37340</v>
      </c>
      <c r="E35" s="12">
        <f>E10-E33</f>
        <v>24800</v>
      </c>
      <c r="H35" t="s">
        <v>32</v>
      </c>
    </row>
    <row r="36" spans="1:8" x14ac:dyDescent="0.25">
      <c r="B36" t="s">
        <v>31</v>
      </c>
      <c r="D36" s="24">
        <f>D35*0.4</f>
        <v>14936</v>
      </c>
      <c r="E36" s="24">
        <f>E35*0.4</f>
        <v>9920</v>
      </c>
    </row>
    <row r="38" spans="1:8" ht="19.5" thickBot="1" x14ac:dyDescent="0.35">
      <c r="A38" s="15" t="s">
        <v>78</v>
      </c>
      <c r="B38" s="15"/>
      <c r="C38" s="15"/>
      <c r="D38" s="26">
        <f>D35-D36</f>
        <v>22404</v>
      </c>
      <c r="E38" s="26">
        <f>E35-E36</f>
        <v>14880</v>
      </c>
    </row>
    <row r="39" spans="1:8" ht="15.75" thickTop="1" x14ac:dyDescent="0.25">
      <c r="D39" s="4"/>
      <c r="E39" s="4"/>
    </row>
    <row r="40" spans="1:8" x14ac:dyDescent="0.25">
      <c r="F40" t="s">
        <v>32</v>
      </c>
    </row>
  </sheetData>
  <mergeCells count="3">
    <mergeCell ref="C1:E1"/>
    <mergeCell ref="B2:E2"/>
    <mergeCell ref="A1:B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B8EFA-F5E1-42CC-84E7-B0B96629D98D}">
  <dimension ref="A1:F62"/>
  <sheetViews>
    <sheetView zoomScale="115" zoomScaleNormal="115" workbookViewId="0">
      <selection activeCell="L58" sqref="L58"/>
    </sheetView>
  </sheetViews>
  <sheetFormatPr defaultRowHeight="15" x14ac:dyDescent="0.25"/>
  <cols>
    <col min="1" max="1" width="5.7109375" customWidth="1"/>
    <col min="2" max="2" width="32.5703125" bestFit="1" customWidth="1"/>
    <col min="3" max="3" width="18.85546875" customWidth="1"/>
    <col min="4" max="4" width="16.140625" style="1" customWidth="1"/>
    <col min="5" max="5" width="13.85546875" style="1" bestFit="1" customWidth="1"/>
  </cols>
  <sheetData>
    <row r="1" spans="1:6" ht="28.5" x14ac:dyDescent="0.45">
      <c r="A1" s="17" t="s">
        <v>3</v>
      </c>
      <c r="B1" s="17"/>
      <c r="D1" s="22" t="s">
        <v>98</v>
      </c>
      <c r="E1" s="22"/>
      <c r="F1" s="35"/>
    </row>
    <row r="2" spans="1:6" x14ac:dyDescent="0.25">
      <c r="D2" s="37" t="s">
        <v>99</v>
      </c>
      <c r="E2" s="37"/>
    </row>
    <row r="4" spans="1:6" ht="21" x14ac:dyDescent="0.35">
      <c r="A4" s="18" t="s">
        <v>79</v>
      </c>
      <c r="B4" s="20"/>
      <c r="C4" s="20"/>
      <c r="D4" s="21"/>
      <c r="E4" s="21">
        <v>2022</v>
      </c>
    </row>
    <row r="5" spans="1:6" ht="18.75" x14ac:dyDescent="0.3">
      <c r="A5" s="29" t="s">
        <v>80</v>
      </c>
      <c r="B5" s="15"/>
      <c r="C5" s="15"/>
      <c r="D5" s="28"/>
      <c r="E5" s="28"/>
    </row>
    <row r="6" spans="1:6" x14ac:dyDescent="0.25">
      <c r="B6" t="s">
        <v>84</v>
      </c>
      <c r="D6" s="30"/>
      <c r="E6" s="32">
        <v>11874</v>
      </c>
    </row>
    <row r="7" spans="1:6" x14ac:dyDescent="0.25">
      <c r="B7" t="s">
        <v>85</v>
      </c>
      <c r="D7" s="31"/>
      <c r="E7" s="31">
        <v>0</v>
      </c>
    </row>
    <row r="8" spans="1:6" x14ac:dyDescent="0.25">
      <c r="B8" t="s">
        <v>86</v>
      </c>
      <c r="D8" s="30"/>
      <c r="E8" s="30">
        <v>0</v>
      </c>
    </row>
    <row r="9" spans="1:6" x14ac:dyDescent="0.25">
      <c r="B9" t="s">
        <v>87</v>
      </c>
      <c r="D9" s="30"/>
      <c r="E9" s="30">
        <v>0</v>
      </c>
    </row>
    <row r="10" spans="1:6" x14ac:dyDescent="0.25">
      <c r="B10" t="s">
        <v>88</v>
      </c>
      <c r="D10" s="30"/>
      <c r="E10" s="30">
        <v>0</v>
      </c>
    </row>
    <row r="11" spans="1:6" x14ac:dyDescent="0.25">
      <c r="D11" s="33" t="s">
        <v>83</v>
      </c>
      <c r="E11" s="34">
        <f>SUM(E6:E10)</f>
        <v>11874</v>
      </c>
    </row>
    <row r="12" spans="1:6" ht="18.75" x14ac:dyDescent="0.3">
      <c r="A12" s="29" t="s">
        <v>81</v>
      </c>
      <c r="B12" s="15"/>
      <c r="C12" s="15"/>
      <c r="D12" s="28"/>
      <c r="E12" s="28"/>
    </row>
    <row r="13" spans="1:6" x14ac:dyDescent="0.25">
      <c r="B13" t="s">
        <v>89</v>
      </c>
      <c r="D13" s="30"/>
      <c r="E13" s="30">
        <v>1208</v>
      </c>
    </row>
    <row r="14" spans="1:6" x14ac:dyDescent="0.25">
      <c r="B14" t="s">
        <v>90</v>
      </c>
      <c r="D14" s="31"/>
      <c r="E14" s="30">
        <v>15340</v>
      </c>
    </row>
    <row r="15" spans="1:6" x14ac:dyDescent="0.25">
      <c r="B15" t="s">
        <v>91</v>
      </c>
      <c r="D15" s="30"/>
      <c r="E15" s="30">
        <v>-2200</v>
      </c>
    </row>
    <row r="16" spans="1:6" x14ac:dyDescent="0.25">
      <c r="B16" t="s">
        <v>92</v>
      </c>
      <c r="D16" s="30"/>
      <c r="E16" s="30">
        <v>0</v>
      </c>
    </row>
    <row r="17" spans="1:5" x14ac:dyDescent="0.25">
      <c r="D17" s="33" t="s">
        <v>96</v>
      </c>
      <c r="E17" s="34">
        <f>SUM(E13:E16)</f>
        <v>14348</v>
      </c>
    </row>
    <row r="18" spans="1:5" ht="18.75" x14ac:dyDescent="0.3">
      <c r="A18" s="29" t="s">
        <v>82</v>
      </c>
      <c r="B18" s="15"/>
      <c r="C18" s="15"/>
      <c r="D18" s="28"/>
      <c r="E18" s="28"/>
    </row>
    <row r="19" spans="1:5" x14ac:dyDescent="0.25">
      <c r="B19" t="s">
        <v>93</v>
      </c>
      <c r="D19" s="30"/>
      <c r="E19" s="30">
        <v>0</v>
      </c>
    </row>
    <row r="20" spans="1:5" x14ac:dyDescent="0.25">
      <c r="B20" t="s">
        <v>94</v>
      </c>
      <c r="D20" s="31"/>
      <c r="E20" s="31">
        <v>0</v>
      </c>
    </row>
    <row r="21" spans="1:5" x14ac:dyDescent="0.25">
      <c r="D21" s="33" t="s">
        <v>95</v>
      </c>
      <c r="E21" s="34">
        <f>SUM(E19:E20)</f>
        <v>0</v>
      </c>
    </row>
    <row r="22" spans="1:5" x14ac:dyDescent="0.25">
      <c r="D22" s="30"/>
      <c r="E22" s="30"/>
    </row>
    <row r="23" spans="1:5" ht="19.5" thickBot="1" x14ac:dyDescent="0.35">
      <c r="A23" s="13" t="s">
        <v>97</v>
      </c>
      <c r="B23" s="6"/>
      <c r="C23" s="6"/>
      <c r="D23" s="36"/>
      <c r="E23" s="55">
        <f>SUM(E11,E17,E21)</f>
        <v>26222</v>
      </c>
    </row>
    <row r="24" spans="1:5" ht="15.75" thickTop="1" x14ac:dyDescent="0.25"/>
    <row r="25" spans="1:5" ht="21" x14ac:dyDescent="0.35">
      <c r="A25" s="18" t="s">
        <v>100</v>
      </c>
      <c r="B25" s="20"/>
      <c r="C25" s="20"/>
      <c r="D25" s="21"/>
      <c r="E25" s="21">
        <v>2022</v>
      </c>
    </row>
    <row r="26" spans="1:5" ht="18.75" x14ac:dyDescent="0.3">
      <c r="A26" s="29" t="s">
        <v>101</v>
      </c>
      <c r="B26" s="15"/>
      <c r="C26" s="15"/>
      <c r="D26" s="28"/>
      <c r="E26" s="28"/>
    </row>
    <row r="27" spans="1:5" x14ac:dyDescent="0.25">
      <c r="B27" t="s">
        <v>105</v>
      </c>
      <c r="D27" s="30"/>
      <c r="E27" s="32">
        <v>8060</v>
      </c>
    </row>
    <row r="28" spans="1:5" x14ac:dyDescent="0.25">
      <c r="B28" t="s">
        <v>106</v>
      </c>
      <c r="D28" s="31"/>
      <c r="E28" s="31">
        <v>0</v>
      </c>
    </row>
    <row r="29" spans="1:5" x14ac:dyDescent="0.25">
      <c r="B29" t="s">
        <v>107</v>
      </c>
      <c r="D29" s="30"/>
      <c r="E29" s="30">
        <v>3145</v>
      </c>
    </row>
    <row r="30" spans="1:5" x14ac:dyDescent="0.25">
      <c r="B30" t="s">
        <v>108</v>
      </c>
      <c r="D30" s="30"/>
      <c r="E30" s="30">
        <v>0</v>
      </c>
    </row>
    <row r="31" spans="1:5" x14ac:dyDescent="0.25">
      <c r="B31" t="s">
        <v>109</v>
      </c>
      <c r="D31" s="30"/>
      <c r="E31" s="30">
        <v>0</v>
      </c>
    </row>
    <row r="32" spans="1:5" x14ac:dyDescent="0.25">
      <c r="B32" t="s">
        <v>110</v>
      </c>
      <c r="E32" s="2">
        <v>0</v>
      </c>
    </row>
    <row r="33" spans="1:5" x14ac:dyDescent="0.25">
      <c r="D33" s="33" t="s">
        <v>111</v>
      </c>
      <c r="E33" s="34">
        <f>SUM(E27:E32)</f>
        <v>11205</v>
      </c>
    </row>
    <row r="34" spans="1:5" ht="18.75" x14ac:dyDescent="0.3">
      <c r="A34" s="29" t="s">
        <v>102</v>
      </c>
      <c r="B34" s="15"/>
      <c r="C34" s="15"/>
      <c r="D34" s="28"/>
      <c r="E34" s="28"/>
    </row>
    <row r="35" spans="1:5" x14ac:dyDescent="0.25">
      <c r="B35" t="s">
        <v>112</v>
      </c>
      <c r="D35" s="30"/>
      <c r="E35" s="30">
        <v>3450</v>
      </c>
    </row>
    <row r="36" spans="1:5" x14ac:dyDescent="0.25">
      <c r="B36" t="s">
        <v>93</v>
      </c>
      <c r="D36" s="31"/>
      <c r="E36" s="30">
        <v>0</v>
      </c>
    </row>
    <row r="37" spans="1:5" x14ac:dyDescent="0.25">
      <c r="B37" t="s">
        <v>94</v>
      </c>
      <c r="D37" s="30"/>
      <c r="E37" s="30">
        <v>0</v>
      </c>
    </row>
    <row r="38" spans="1:5" x14ac:dyDescent="0.25">
      <c r="D38" s="33" t="s">
        <v>113</v>
      </c>
      <c r="E38" s="34">
        <f>SUM(E35:E37)</f>
        <v>3450</v>
      </c>
    </row>
    <row r="39" spans="1:5" ht="18.75" x14ac:dyDescent="0.3">
      <c r="A39" s="29" t="s">
        <v>103</v>
      </c>
      <c r="B39" s="15"/>
      <c r="C39" s="15"/>
      <c r="D39" s="28"/>
      <c r="E39" s="28"/>
    </row>
    <row r="40" spans="1:5" x14ac:dyDescent="0.25">
      <c r="B40" t="s">
        <v>114</v>
      </c>
      <c r="D40" s="30"/>
      <c r="E40" s="30">
        <v>7178</v>
      </c>
    </row>
    <row r="41" spans="1:5" x14ac:dyDescent="0.25">
      <c r="B41" t="s">
        <v>115</v>
      </c>
      <c r="D41" s="31"/>
      <c r="E41" s="30">
        <v>4389</v>
      </c>
    </row>
    <row r="42" spans="1:5" x14ac:dyDescent="0.25">
      <c r="B42" t="s">
        <v>94</v>
      </c>
      <c r="E42" s="1">
        <v>0</v>
      </c>
    </row>
    <row r="43" spans="1:5" x14ac:dyDescent="0.25">
      <c r="D43" s="33" t="s">
        <v>116</v>
      </c>
      <c r="E43" s="34">
        <f>SUM(E40:E42)</f>
        <v>11567</v>
      </c>
    </row>
    <row r="44" spans="1:5" x14ac:dyDescent="0.25">
      <c r="D44" s="30"/>
      <c r="E44" s="30"/>
    </row>
    <row r="45" spans="1:5" ht="19.5" thickBot="1" x14ac:dyDescent="0.35">
      <c r="A45" s="13" t="s">
        <v>104</v>
      </c>
      <c r="B45" s="6"/>
      <c r="C45" s="6"/>
      <c r="D45" s="36"/>
      <c r="E45" s="55">
        <f>E33+E38+E43</f>
        <v>26222</v>
      </c>
    </row>
    <row r="46" spans="1:5" ht="15.75" thickTop="1" x14ac:dyDescent="0.25">
      <c r="D46"/>
      <c r="E46"/>
    </row>
    <row r="47" spans="1:5" x14ac:dyDescent="0.25">
      <c r="D47"/>
      <c r="E47"/>
    </row>
    <row r="48" spans="1:5" x14ac:dyDescent="0.25">
      <c r="D48"/>
      <c r="E48"/>
    </row>
    <row r="49" spans="4:5" x14ac:dyDescent="0.25">
      <c r="D49"/>
      <c r="E49"/>
    </row>
    <row r="50" spans="4:5" x14ac:dyDescent="0.25">
      <c r="D50"/>
      <c r="E50"/>
    </row>
    <row r="51" spans="4:5" x14ac:dyDescent="0.25">
      <c r="D51"/>
      <c r="E51"/>
    </row>
    <row r="52" spans="4:5" x14ac:dyDescent="0.25">
      <c r="D52"/>
      <c r="E52"/>
    </row>
    <row r="53" spans="4:5" x14ac:dyDescent="0.25">
      <c r="D53"/>
      <c r="E53"/>
    </row>
    <row r="54" spans="4:5" x14ac:dyDescent="0.25">
      <c r="D54"/>
      <c r="E54"/>
    </row>
    <row r="55" spans="4:5" x14ac:dyDescent="0.25">
      <c r="D55"/>
      <c r="E55"/>
    </row>
    <row r="56" spans="4:5" x14ac:dyDescent="0.25">
      <c r="D56"/>
      <c r="E56"/>
    </row>
    <row r="57" spans="4:5" x14ac:dyDescent="0.25">
      <c r="D57"/>
      <c r="E57"/>
    </row>
    <row r="58" spans="4:5" x14ac:dyDescent="0.25">
      <c r="D58"/>
      <c r="E58"/>
    </row>
    <row r="59" spans="4:5" x14ac:dyDescent="0.25">
      <c r="D59"/>
      <c r="E59"/>
    </row>
    <row r="60" spans="4:5" x14ac:dyDescent="0.25">
      <c r="D60"/>
      <c r="E60"/>
    </row>
    <row r="61" spans="4:5" x14ac:dyDescent="0.25">
      <c r="D61"/>
      <c r="E61"/>
    </row>
    <row r="62" spans="4:5" x14ac:dyDescent="0.25">
      <c r="D62"/>
      <c r="E62"/>
    </row>
  </sheetData>
  <mergeCells count="3">
    <mergeCell ref="D2:E2"/>
    <mergeCell ref="A1:B1"/>
    <mergeCell ref="D1:E1"/>
  </mergeCells>
  <phoneticPr fontId="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"/>
  <sheetViews>
    <sheetView tabSelected="1" zoomScale="120" zoomScaleNormal="120" workbookViewId="0">
      <selection activeCell="K38" sqref="K38"/>
    </sheetView>
  </sheetViews>
  <sheetFormatPr defaultRowHeight="15" x14ac:dyDescent="0.25"/>
  <cols>
    <col min="1" max="1" width="5.5703125" customWidth="1"/>
    <col min="2" max="2" width="36.42578125" bestFit="1" customWidth="1"/>
    <col min="3" max="4" width="11.28515625" bestFit="1" customWidth="1"/>
    <col min="5" max="10" width="10.140625" bestFit="1" customWidth="1"/>
    <col min="11" max="11" width="11.28515625" bestFit="1" customWidth="1"/>
    <col min="12" max="13" width="10.140625" bestFit="1" customWidth="1"/>
  </cols>
  <sheetData>
    <row r="1" spans="1:14" ht="18.75" x14ac:dyDescent="0.3">
      <c r="A1" s="9" t="s">
        <v>34</v>
      </c>
    </row>
    <row r="2" spans="1:14" ht="18.75" x14ac:dyDescent="0.3">
      <c r="A2" s="44" t="s">
        <v>35</v>
      </c>
    </row>
    <row r="4" spans="1:14" x14ac:dyDescent="0.25">
      <c r="B4" s="1" t="s">
        <v>118</v>
      </c>
      <c r="C4" s="43">
        <v>43831</v>
      </c>
      <c r="D4" s="42">
        <v>43862</v>
      </c>
      <c r="E4" s="42">
        <v>43891</v>
      </c>
      <c r="F4" s="42">
        <v>43922</v>
      </c>
      <c r="G4" s="42">
        <v>43952</v>
      </c>
      <c r="H4" s="42">
        <v>43983</v>
      </c>
      <c r="I4" s="42">
        <v>44013</v>
      </c>
      <c r="J4" s="42">
        <v>44044</v>
      </c>
      <c r="K4" s="42">
        <v>44075</v>
      </c>
      <c r="L4" s="42">
        <v>44105</v>
      </c>
      <c r="M4" s="42">
        <v>44136</v>
      </c>
      <c r="N4" s="42">
        <v>44166</v>
      </c>
    </row>
    <row r="5" spans="1:14" x14ac:dyDescent="0.25">
      <c r="B5" s="1" t="s">
        <v>49</v>
      </c>
      <c r="C5" s="42">
        <v>43861</v>
      </c>
      <c r="D5" s="42">
        <v>43890</v>
      </c>
      <c r="E5" s="42">
        <v>43921</v>
      </c>
      <c r="F5" s="42">
        <v>43951</v>
      </c>
      <c r="G5" s="42">
        <v>43982</v>
      </c>
      <c r="H5" s="42">
        <v>44012</v>
      </c>
      <c r="I5" s="42">
        <v>44043</v>
      </c>
      <c r="J5" s="42">
        <v>44073</v>
      </c>
      <c r="K5" s="42">
        <v>44104</v>
      </c>
      <c r="L5" s="42">
        <v>44135</v>
      </c>
      <c r="M5" s="42">
        <v>44165</v>
      </c>
      <c r="N5" s="42">
        <v>44196</v>
      </c>
    </row>
    <row r="6" spans="1:14" x14ac:dyDescent="0.25">
      <c r="B6" s="1"/>
    </row>
    <row r="7" spans="1:14" x14ac:dyDescent="0.25">
      <c r="B7" s="1" t="s">
        <v>51</v>
      </c>
      <c r="C7" s="38">
        <v>15700</v>
      </c>
      <c r="D7" s="5">
        <f>C8</f>
        <v>17326</v>
      </c>
      <c r="E7" s="5">
        <v>17325</v>
      </c>
      <c r="F7" s="5">
        <v>17325</v>
      </c>
      <c r="G7" s="5">
        <v>17325</v>
      </c>
      <c r="H7" s="5">
        <v>17325</v>
      </c>
      <c r="I7" s="5">
        <v>17325</v>
      </c>
      <c r="J7" s="5">
        <v>17325</v>
      </c>
      <c r="K7" s="5">
        <v>17325</v>
      </c>
      <c r="L7" s="5">
        <v>17325</v>
      </c>
      <c r="M7" s="5">
        <v>17325</v>
      </c>
      <c r="N7" s="5">
        <v>17325</v>
      </c>
    </row>
    <row r="8" spans="1:14" x14ac:dyDescent="0.25">
      <c r="B8" s="1" t="s">
        <v>50</v>
      </c>
      <c r="C8" s="5">
        <f>C7+C43</f>
        <v>17326</v>
      </c>
      <c r="D8" s="5">
        <v>17325</v>
      </c>
      <c r="E8" s="5">
        <v>17325</v>
      </c>
      <c r="F8" s="5">
        <v>17325</v>
      </c>
      <c r="G8" s="5">
        <v>17325</v>
      </c>
      <c r="H8" s="5">
        <v>17325</v>
      </c>
      <c r="I8" s="5">
        <v>17325</v>
      </c>
      <c r="J8" s="5">
        <v>17325</v>
      </c>
      <c r="K8" s="5">
        <v>17325</v>
      </c>
      <c r="L8" s="5">
        <v>17325</v>
      </c>
      <c r="M8" s="5">
        <v>17325</v>
      </c>
      <c r="N8" s="5">
        <v>17325</v>
      </c>
    </row>
    <row r="10" spans="1:14" x14ac:dyDescent="0.25">
      <c r="A10" s="45" t="s">
        <v>36</v>
      </c>
      <c r="B10" s="45"/>
      <c r="C10" s="46" t="s">
        <v>52</v>
      </c>
      <c r="D10" s="46" t="s">
        <v>53</v>
      </c>
      <c r="E10" s="46" t="s">
        <v>54</v>
      </c>
      <c r="F10" s="46" t="s">
        <v>55</v>
      </c>
      <c r="G10" s="46" t="s">
        <v>56</v>
      </c>
      <c r="H10" s="46" t="s">
        <v>57</v>
      </c>
      <c r="I10" s="46" t="s">
        <v>58</v>
      </c>
      <c r="J10" s="46" t="s">
        <v>59</v>
      </c>
      <c r="K10" s="46" t="s">
        <v>60</v>
      </c>
      <c r="L10" s="46" t="s">
        <v>61</v>
      </c>
      <c r="M10" s="46" t="s">
        <v>62</v>
      </c>
      <c r="N10" s="46" t="s">
        <v>63</v>
      </c>
    </row>
    <row r="11" spans="1:14" x14ac:dyDescent="0.25">
      <c r="A11" t="s">
        <v>37</v>
      </c>
    </row>
    <row r="12" spans="1:14" x14ac:dyDescent="0.25">
      <c r="B12" t="s">
        <v>38</v>
      </c>
      <c r="C12" s="51">
        <v>57767</v>
      </c>
      <c r="D12" s="39"/>
      <c r="E12" s="39"/>
      <c r="F12" s="39"/>
      <c r="G12" s="39"/>
      <c r="H12" s="39"/>
      <c r="I12" s="39"/>
      <c r="J12" s="39"/>
      <c r="K12" s="39"/>
      <c r="L12" s="39"/>
      <c r="M12" s="39"/>
      <c r="N12" s="39"/>
    </row>
    <row r="13" spans="1:14" x14ac:dyDescent="0.25">
      <c r="B13" t="s">
        <v>39</v>
      </c>
      <c r="C13" s="51"/>
      <c r="D13" s="39"/>
      <c r="E13" s="39"/>
      <c r="F13" s="39"/>
      <c r="G13" s="39"/>
      <c r="H13" s="39"/>
      <c r="I13" s="39"/>
      <c r="J13" s="39"/>
      <c r="K13" s="39"/>
      <c r="L13" s="39"/>
      <c r="M13" s="39"/>
      <c r="N13" s="39"/>
    </row>
    <row r="14" spans="1:14" x14ac:dyDescent="0.25">
      <c r="A14" t="s">
        <v>40</v>
      </c>
      <c r="C14" s="52"/>
    </row>
    <row r="15" spans="1:14" x14ac:dyDescent="0.25">
      <c r="B15" t="s">
        <v>64</v>
      </c>
      <c r="C15" s="51">
        <v>-22000</v>
      </c>
      <c r="D15" s="39"/>
      <c r="E15" s="39"/>
      <c r="F15" s="39"/>
      <c r="G15" s="39"/>
      <c r="H15" s="39"/>
      <c r="I15" s="39"/>
      <c r="J15" s="39"/>
      <c r="K15" s="39"/>
      <c r="L15" s="39"/>
      <c r="M15" s="39"/>
      <c r="N15" s="39"/>
    </row>
    <row r="16" spans="1:14" x14ac:dyDescent="0.25">
      <c r="B16" t="s">
        <v>65</v>
      </c>
      <c r="C16" s="51">
        <v>-9333</v>
      </c>
      <c r="D16" s="39"/>
      <c r="E16" s="39"/>
      <c r="F16" s="50"/>
      <c r="G16" s="39"/>
      <c r="H16" s="39"/>
      <c r="I16" s="39"/>
      <c r="J16" s="39"/>
      <c r="K16" s="39"/>
      <c r="L16" s="39"/>
      <c r="M16" s="39"/>
      <c r="N16" s="39"/>
    </row>
    <row r="17" spans="1:14" x14ac:dyDescent="0.25">
      <c r="B17" t="s">
        <v>66</v>
      </c>
      <c r="C17" s="51">
        <v>-10250</v>
      </c>
      <c r="D17" s="39"/>
      <c r="E17" s="39"/>
      <c r="F17" s="39"/>
      <c r="G17" s="39"/>
      <c r="H17" s="39"/>
      <c r="I17" s="39"/>
      <c r="J17" s="39"/>
      <c r="K17" s="39"/>
      <c r="L17" s="39"/>
      <c r="M17" s="39"/>
      <c r="N17" s="39"/>
    </row>
    <row r="18" spans="1:14" x14ac:dyDescent="0.25">
      <c r="B18" t="s">
        <v>67</v>
      </c>
      <c r="C18" s="51">
        <v>-1125</v>
      </c>
      <c r="D18" s="39"/>
      <c r="E18" s="39"/>
      <c r="F18" s="39"/>
      <c r="G18" s="39"/>
      <c r="H18" s="39"/>
      <c r="I18" s="39"/>
      <c r="J18" s="39"/>
      <c r="K18" s="39"/>
      <c r="L18" s="39"/>
      <c r="M18" s="39"/>
      <c r="N18" s="39"/>
    </row>
    <row r="19" spans="1:14" x14ac:dyDescent="0.25">
      <c r="B19" t="s">
        <v>68</v>
      </c>
      <c r="C19" s="51">
        <v>-2733</v>
      </c>
      <c r="D19" s="39"/>
      <c r="E19" s="39"/>
      <c r="F19" s="39"/>
      <c r="G19" s="39"/>
      <c r="H19" s="39"/>
      <c r="I19" s="39"/>
      <c r="J19" s="39"/>
      <c r="K19" s="39"/>
      <c r="L19" s="39"/>
      <c r="M19" s="39"/>
      <c r="N19" s="39"/>
    </row>
    <row r="20" spans="1:14" x14ac:dyDescent="0.25">
      <c r="A20" s="41" t="s">
        <v>41</v>
      </c>
      <c r="B20" s="41"/>
      <c r="C20" s="53">
        <f>SUM(C12:C19)</f>
        <v>12326</v>
      </c>
      <c r="D20" s="7">
        <v>0</v>
      </c>
      <c r="E20" s="7">
        <v>0</v>
      </c>
      <c r="F20" s="7">
        <v>0</v>
      </c>
      <c r="G20" s="7">
        <v>0</v>
      </c>
      <c r="H20" s="7">
        <v>0</v>
      </c>
      <c r="I20" s="7">
        <v>0</v>
      </c>
      <c r="J20" s="7">
        <v>0</v>
      </c>
      <c r="K20" s="7">
        <v>0</v>
      </c>
      <c r="L20" s="7">
        <v>0</v>
      </c>
      <c r="M20" s="7">
        <v>0</v>
      </c>
      <c r="N20" s="7">
        <v>0</v>
      </c>
    </row>
    <row r="22" spans="1:14" x14ac:dyDescent="0.25">
      <c r="A22" s="45" t="s">
        <v>42</v>
      </c>
      <c r="B22" s="45"/>
      <c r="C22" s="47"/>
      <c r="D22" s="46"/>
      <c r="E22" s="46"/>
      <c r="F22" s="46"/>
      <c r="G22" s="46"/>
      <c r="H22" s="46"/>
      <c r="I22" s="46"/>
      <c r="J22" s="46"/>
      <c r="K22" s="46"/>
      <c r="L22" s="46"/>
      <c r="M22" s="46"/>
      <c r="N22" s="46"/>
    </row>
    <row r="23" spans="1:14" x14ac:dyDescent="0.25">
      <c r="A23" t="s">
        <v>37</v>
      </c>
      <c r="C23" s="52"/>
    </row>
    <row r="24" spans="1:14" x14ac:dyDescent="0.25">
      <c r="B24" t="s">
        <v>43</v>
      </c>
      <c r="C24" s="52">
        <v>2800</v>
      </c>
    </row>
    <row r="25" spans="1:14" x14ac:dyDescent="0.25">
      <c r="B25" t="s">
        <v>44</v>
      </c>
      <c r="C25" s="52"/>
    </row>
    <row r="26" spans="1:14" x14ac:dyDescent="0.25">
      <c r="B26" t="s">
        <v>69</v>
      </c>
      <c r="C26" s="52"/>
    </row>
    <row r="27" spans="1:14" x14ac:dyDescent="0.25">
      <c r="A27" t="s">
        <v>40</v>
      </c>
      <c r="C27" s="52"/>
    </row>
    <row r="28" spans="1:14" x14ac:dyDescent="0.25">
      <c r="B28" t="s">
        <v>45</v>
      </c>
      <c r="C28" s="52">
        <v>-6250</v>
      </c>
    </row>
    <row r="29" spans="1:14" x14ac:dyDescent="0.25">
      <c r="B29" t="s">
        <v>70</v>
      </c>
      <c r="C29" s="52"/>
    </row>
    <row r="30" spans="1:14" x14ac:dyDescent="0.25">
      <c r="B30" t="s">
        <v>71</v>
      </c>
      <c r="C30" s="52"/>
    </row>
    <row r="31" spans="1:14" x14ac:dyDescent="0.25">
      <c r="A31" s="40" t="s">
        <v>46</v>
      </c>
      <c r="B31" s="40"/>
      <c r="C31" s="53">
        <f>SUM(C24:C30)</f>
        <v>-3450</v>
      </c>
      <c r="D31" s="7">
        <v>0</v>
      </c>
      <c r="E31" s="7">
        <v>0</v>
      </c>
      <c r="F31" s="7">
        <v>0</v>
      </c>
      <c r="G31" s="7">
        <v>0</v>
      </c>
      <c r="H31" s="7">
        <v>0</v>
      </c>
      <c r="I31" s="7">
        <v>0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</row>
    <row r="33" spans="1:14" x14ac:dyDescent="0.25">
      <c r="A33" s="48" t="s">
        <v>72</v>
      </c>
      <c r="B33" s="48"/>
      <c r="C33" s="47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</row>
    <row r="34" spans="1:14" x14ac:dyDescent="0.25">
      <c r="A34" t="s">
        <v>37</v>
      </c>
      <c r="C34" s="52"/>
    </row>
    <row r="35" spans="1:14" x14ac:dyDescent="0.25">
      <c r="B35" t="s">
        <v>73</v>
      </c>
      <c r="C35" s="52"/>
    </row>
    <row r="36" spans="1:14" x14ac:dyDescent="0.25">
      <c r="B36" t="s">
        <v>47</v>
      </c>
      <c r="C36" s="52"/>
    </row>
    <row r="37" spans="1:14" x14ac:dyDescent="0.25">
      <c r="A37" t="s">
        <v>40</v>
      </c>
      <c r="C37" s="52"/>
    </row>
    <row r="38" spans="1:14" x14ac:dyDescent="0.25">
      <c r="B38" t="s">
        <v>48</v>
      </c>
      <c r="C38" s="52"/>
    </row>
    <row r="39" spans="1:14" x14ac:dyDescent="0.25">
      <c r="B39" t="s">
        <v>74</v>
      </c>
      <c r="C39" s="52">
        <v>-2833</v>
      </c>
    </row>
    <row r="40" spans="1:14" x14ac:dyDescent="0.25">
      <c r="B40" t="s">
        <v>75</v>
      </c>
      <c r="C40" s="52">
        <v>-4417</v>
      </c>
    </row>
    <row r="41" spans="1:14" x14ac:dyDescent="0.25">
      <c r="A41" s="40" t="s">
        <v>76</v>
      </c>
      <c r="B41" s="40"/>
      <c r="C41" s="54">
        <f>SUM(C35:C40)</f>
        <v>-7250</v>
      </c>
      <c r="D41" s="8">
        <v>0</v>
      </c>
      <c r="E41" s="8">
        <v>0</v>
      </c>
      <c r="F41" s="8">
        <v>0</v>
      </c>
      <c r="G41" s="8">
        <v>0</v>
      </c>
      <c r="H41" s="8">
        <v>0</v>
      </c>
      <c r="I41" s="8">
        <v>0</v>
      </c>
      <c r="J41" s="8">
        <v>0</v>
      </c>
      <c r="K41" s="8">
        <v>0</v>
      </c>
      <c r="L41" s="8">
        <v>0</v>
      </c>
      <c r="M41" s="8">
        <v>0</v>
      </c>
      <c r="N41" s="8">
        <v>0</v>
      </c>
    </row>
    <row r="42" spans="1:14" x14ac:dyDescent="0.25">
      <c r="C42" s="52"/>
    </row>
    <row r="43" spans="1:14" ht="15.75" thickBot="1" x14ac:dyDescent="0.3">
      <c r="A43" s="49" t="s">
        <v>77</v>
      </c>
      <c r="B43" s="49"/>
      <c r="C43" s="56">
        <f>C20+C31+C41</f>
        <v>1626</v>
      </c>
      <c r="D43" s="57">
        <v>0</v>
      </c>
      <c r="E43" s="57">
        <v>0</v>
      </c>
      <c r="F43" s="57">
        <v>0</v>
      </c>
      <c r="G43" s="57">
        <v>0</v>
      </c>
      <c r="H43" s="57">
        <v>0</v>
      </c>
      <c r="I43" s="57">
        <v>0</v>
      </c>
      <c r="J43" s="57">
        <v>0</v>
      </c>
      <c r="K43" s="57">
        <v>0</v>
      </c>
      <c r="L43" s="57">
        <v>0</v>
      </c>
      <c r="M43" s="57">
        <v>0</v>
      </c>
      <c r="N43" s="57">
        <v>0</v>
      </c>
    </row>
    <row r="44" spans="1:14" ht="15.75" thickTop="1" x14ac:dyDescent="0.25"/>
  </sheetData>
  <mergeCells count="3">
    <mergeCell ref="A10:B10"/>
    <mergeCell ref="A22:B22"/>
    <mergeCell ref="A20:B20"/>
  </mergeCells>
  <phoneticPr fontId="6" type="noConversion"/>
  <conditionalFormatting sqref="C12:C19 C28:C31 C33:C40">
    <cfRule type="cellIs" dxfId="1" priority="2" operator="lessThan">
      <formula>0</formula>
    </cfRule>
  </conditionalFormatting>
  <conditionalFormatting sqref="E14">
    <cfRule type="cellIs" dxfId="0" priority="3" operator="lessThan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Income Statement</vt:lpstr>
      <vt:lpstr>Balance Sheet</vt:lpstr>
      <vt:lpstr>12 month Cashflow Statement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Aiden Benjamin</dc:creator>
  <cp:lastModifiedBy>Aiden Benjamin</cp:lastModifiedBy>
  <dcterms:created xsi:type="dcterms:W3CDTF">2015-06-05T18:17:20Z</dcterms:created>
  <dcterms:modified xsi:type="dcterms:W3CDTF">2026-04-10T12:19:17Z</dcterms:modified>
</cp:coreProperties>
</file>