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lame\OneDrive\Desktop\Accounts Payable Portfolio\"/>
    </mc:Choice>
  </mc:AlternateContent>
  <xr:revisionPtr revIDLastSave="0" documentId="13_ncr:1_{40A42C47-D0BF-483E-8858-1852441D09DD}" xr6:coauthVersionLast="47" xr6:coauthVersionMax="47" xr10:uidLastSave="{00000000-0000-0000-0000-000000000000}"/>
  <bookViews>
    <workbookView xWindow="-120" yWindow="-120" windowWidth="29040" windowHeight="15720" xr2:uid="{00000000-000D-0000-FFFF-FFFF00000000}"/>
  </bookViews>
  <sheets>
    <sheet name="DATA_Vendors" sheetId="1" r:id="rId1"/>
    <sheet name="WORK_Invoice_Log" sheetId="2" r:id="rId2"/>
    <sheet name="EXT_Statement" sheetId="3" r:id="rId3"/>
    <sheet name="FIN_Dashboard" sheetId="4" r:id="rId4"/>
  </sheets>
  <definedNames>
    <definedName name="Invoices">WORK_Invoice_Log!$A$1:$L$7</definedName>
    <definedName name="Slicer_Doc_Type">#N/A</definedName>
    <definedName name="Slicer_Priorit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M7" i="2"/>
  <c r="M2" i="2"/>
  <c r="M3" i="2"/>
  <c r="M4" i="2"/>
  <c r="M5" i="2"/>
  <c r="M6" i="2"/>
  <c r="K2" i="2"/>
  <c r="L2" i="2" s="1"/>
  <c r="K3" i="2"/>
  <c r="L3" i="2" s="1"/>
  <c r="K4" i="2"/>
  <c r="L4" i="2" s="1"/>
  <c r="K5" i="2"/>
  <c r="L5" i="2" s="1"/>
  <c r="K6" i="2"/>
  <c r="L6" i="2" s="1"/>
  <c r="K7" i="2"/>
  <c r="L7" i="2" s="1"/>
  <c r="I7" i="2"/>
  <c r="D7" i="2"/>
  <c r="G7" i="2"/>
  <c r="H7" i="2" s="1"/>
  <c r="J7" i="2"/>
  <c r="J2" i="2"/>
  <c r="J3" i="2"/>
  <c r="J4" i="2"/>
  <c r="J5" i="2"/>
  <c r="J6" i="2"/>
  <c r="G3" i="2"/>
  <c r="H3" i="2" s="1"/>
  <c r="G4" i="2"/>
  <c r="H4" i="2" s="1"/>
  <c r="G5" i="2"/>
  <c r="H5" i="2" s="1"/>
  <c r="G6" i="2"/>
  <c r="H6" i="2" s="1"/>
  <c r="G2" i="2"/>
  <c r="H2" i="2" s="1"/>
  <c r="I3" i="2"/>
  <c r="I4" i="2"/>
  <c r="I5" i="2"/>
  <c r="I6" i="2"/>
  <c r="I2" i="2"/>
  <c r="D3" i="2"/>
  <c r="D4" i="2"/>
  <c r="D5" i="2"/>
  <c r="D6" i="2"/>
  <c r="D2" i="2"/>
</calcChain>
</file>

<file path=xl/sharedStrings.xml><?xml version="1.0" encoding="utf-8"?>
<sst xmlns="http://schemas.openxmlformats.org/spreadsheetml/2006/main" count="57" uniqueCount="37">
  <si>
    <t>Vendor Code</t>
  </si>
  <si>
    <t>Company</t>
  </si>
  <si>
    <t>VAT Registered?</t>
  </si>
  <si>
    <t>Terms (Days)</t>
  </si>
  <si>
    <t>TCH-001</t>
  </si>
  <si>
    <t>Samsung South Africa</t>
  </si>
  <si>
    <t>Yes</t>
  </si>
  <si>
    <t>TCH-002</t>
  </si>
  <si>
    <t>Dell Technologies</t>
  </si>
  <si>
    <t>TCH-003</t>
  </si>
  <si>
    <t>Local PC Parts</t>
  </si>
  <si>
    <t>No</t>
  </si>
  <si>
    <t>Date</t>
  </si>
  <si>
    <t>Doc Type</t>
  </si>
  <si>
    <t>Reference</t>
  </si>
  <si>
    <t>Excl VAT</t>
  </si>
  <si>
    <t>VAT (15%)</t>
  </si>
  <si>
    <t>Total</t>
  </si>
  <si>
    <t>Due Date</t>
  </si>
  <si>
    <t>Invoice</t>
  </si>
  <si>
    <t>S-990</t>
  </si>
  <si>
    <t>D-112</t>
  </si>
  <si>
    <t>Credit Note</t>
  </si>
  <si>
    <t>CR-50</t>
  </si>
  <si>
    <t>LPC-01</t>
  </si>
  <si>
    <t>S-1002</t>
  </si>
  <si>
    <t>Statement Amount</t>
  </si>
  <si>
    <t>S-1010</t>
  </si>
  <si>
    <t>Rec Status</t>
  </si>
  <si>
    <t>Row Labels</t>
  </si>
  <si>
    <t>Grand Total</t>
  </si>
  <si>
    <t>Total Outstanding (ZAR)</t>
  </si>
  <si>
    <t>Days Overdue</t>
  </si>
  <si>
    <t>Priority</t>
  </si>
  <si>
    <t>SARS Input VAT Summary (May 2026)</t>
  </si>
  <si>
    <t>Vat Reg?</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</si>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</sst>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9C5700"/>
      <name val="Calibri"/>
      <family val="2"/>
      <scheme val="minor"/>
    </font>
    <font>
      <sz val="12"/>
      <color theme="1"/>
      <name val="Arial"/>
      <family val="2"/>
    </font>
    <font>
      <sz val="12"/>
      <color rgb="FF9C5700"/>
      <name val="Arial"/>
      <family val="2"/>
    </font>
    <font>
      <sz val="12"/>
      <color theme="1"/>
      <name val="Arial"/>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1" fontId="0" fillId="0" borderId="0" xfId="0" applyNumberFormat="1"/>
    <xf numFmtId="0" fontId="2" fillId="0" borderId="0" xfId="0" applyFont="1"/>
    <xf numFmtId="14" fontId="2" fillId="0" borderId="0" xfId="0" applyNumberFormat="1" applyFont="1"/>
    <xf numFmtId="1" fontId="2" fillId="0" borderId="0" xfId="0" applyNumberFormat="1" applyFont="1"/>
    <xf numFmtId="14" fontId="3" fillId="2" borderId="0" xfId="1" applyNumberFormat="1" applyFont="1"/>
    <xf numFmtId="0" fontId="3" fillId="2" borderId="0" xfId="1" applyFont="1"/>
    <xf numFmtId="0" fontId="3" fillId="2" borderId="0" xfId="1" applyNumberFormat="1"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cellXfs>
  <cellStyles count="2">
    <cellStyle name="Neutral" xfId="1" builtinId="28"/>
    <cellStyle name="Normal" xfId="0" builtinId="0"/>
  </cellStyles>
  <dxfs count="76">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ont>
        <color rgb="FF9C0006"/>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name val="Arial"/>
        <family val="2"/>
        <scheme val="none"/>
      </font>
      <numFmt numFmtId="0" formatCode="General"/>
    </dxf>
    <dxf>
      <font>
        <strike val="0"/>
        <outline val="0"/>
        <shadow val="0"/>
        <u val="none"/>
        <vertAlign val="baseline"/>
        <sz val="12"/>
        <name val="Arial"/>
        <family val="2"/>
        <scheme val="none"/>
      </font>
      <numFmt numFmtId="0" formatCode="General"/>
    </dxf>
    <dxf>
      <font>
        <strike val="0"/>
        <outline val="0"/>
        <shadow val="0"/>
        <u val="none"/>
        <vertAlign val="baseline"/>
        <sz val="12"/>
        <name val="Arial"/>
        <family val="2"/>
        <scheme val="none"/>
      </font>
      <numFmt numFmtId="1" formatCode="0"/>
    </dxf>
    <dxf>
      <font>
        <strike val="0"/>
        <outline val="0"/>
        <shadow val="0"/>
        <u val="none"/>
        <vertAlign val="baseline"/>
        <sz val="12"/>
        <name val="Arial"/>
        <family val="2"/>
        <scheme val="none"/>
      </font>
      <numFmt numFmtId="0" formatCode="General"/>
    </dxf>
    <dxf>
      <font>
        <strike val="0"/>
        <outline val="0"/>
        <shadow val="0"/>
        <u val="none"/>
        <vertAlign val="baseline"/>
        <sz val="12"/>
        <name val="Arial"/>
        <family val="2"/>
        <scheme val="none"/>
      </font>
      <numFmt numFmtId="19" formatCode="yyyy/mm/dd"/>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u val="none"/>
        <vertAlign val="baseline"/>
        <sz val="12"/>
        <name val="Arial"/>
        <family val="2"/>
        <scheme val="none"/>
      </font>
      <numFmt numFmtId="19" formatCode="yyyy/mm/dd"/>
    </dxf>
    <dxf>
      <font>
        <strike val="0"/>
        <outline val="0"/>
        <shadow val="0"/>
        <u val="none"/>
        <vertAlign val="baseline"/>
        <sz val="12"/>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8</xdr:row>
      <xdr:rowOff>19050</xdr:rowOff>
    </xdr:from>
    <xdr:to>
      <xdr:col>1</xdr:col>
      <xdr:colOff>1838325</xdr:colOff>
      <xdr:row>21</xdr:row>
      <xdr:rowOff>66675</xdr:rowOff>
    </xdr:to>
    <mc:AlternateContent xmlns:mc="http://schemas.openxmlformats.org/markup-compatibility/2006" xmlns:a14="http://schemas.microsoft.com/office/drawing/2010/main">
      <mc:Choice Requires="a14">
        <xdr:graphicFrame macro="">
          <xdr:nvGraphicFramePr>
            <xdr:cNvPr id="2" name="Doc Type">
              <a:extLst>
                <a:ext uri="{FF2B5EF4-FFF2-40B4-BE49-F238E27FC236}">
                  <a16:creationId xmlns:a16="http://schemas.microsoft.com/office/drawing/2014/main" id="{B07FE752-8818-DA80-4DD2-3D93DCB8EC80}"/>
                </a:ext>
              </a:extLst>
            </xdr:cNvPr>
            <xdr:cNvGraphicFramePr/>
          </xdr:nvGraphicFramePr>
          <xdr:xfrm>
            <a:off x="0" y="0"/>
            <a:ext cx="0" cy="0"/>
          </xdr:xfrm>
          <a:graphic>
            <a:graphicData uri="http://schemas.microsoft.com/office/drawing/2010/slicer">
              <sle:slicer xmlns:sle="http://schemas.microsoft.com/office/drawing/2010/slicer" name="Doc Type"/>
            </a:graphicData>
          </a:graphic>
        </xdr:graphicFrame>
      </mc:Choice>
      <mc:Fallback xmlns="">
        <xdr:sp macro="" textlink="">
          <xdr:nvSpPr>
            <xdr:cNvPr id="0" name=""/>
            <xdr:cNvSpPr>
              <a:spLocks noTextEdit="1"/>
            </xdr:cNvSpPr>
          </xdr:nvSpPr>
          <xdr:spPr>
            <a:xfrm>
              <a:off x="1600200" y="15430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8</xdr:row>
      <xdr:rowOff>28575</xdr:rowOff>
    </xdr:from>
    <xdr:to>
      <xdr:col>3</xdr:col>
      <xdr:colOff>1714500</xdr:colOff>
      <xdr:row>21</xdr:row>
      <xdr:rowOff>76200</xdr:rowOff>
    </xdr:to>
    <mc:AlternateContent xmlns:mc="http://schemas.openxmlformats.org/markup-compatibility/2006" xmlns:a14="http://schemas.microsoft.com/office/drawing/2010/main">
      <mc:Choice Requires="a14">
        <xdr:graphicFrame macro="">
          <xdr:nvGraphicFramePr>
            <xdr:cNvPr id="3" name="Priority">
              <a:extLst>
                <a:ext uri="{FF2B5EF4-FFF2-40B4-BE49-F238E27FC236}">
                  <a16:creationId xmlns:a16="http://schemas.microsoft.com/office/drawing/2014/main" id="{2811D369-8B3A-C9E1-C3CD-8EC1F0F7CC62}"/>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943350" y="15525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den Benjamin" refreshedDate="46144.466178240742" createdVersion="8" refreshedVersion="8" minRefreshableVersion="3" recordCount="6" xr:uid="{FAF87588-570C-46A6-B64B-E04B10954788}">
  <cacheSource type="worksheet">
    <worksheetSource name="Invoices"/>
  </cacheSource>
  <cacheFields count="12">
    <cacheField name="Date" numFmtId="14">
      <sharedItems containsNonDate="0" containsDate="1" containsString="0" containsBlank="1" minDate="2026-03-15T00:00:00" maxDate="2026-05-06T00:00:00"/>
    </cacheField>
    <cacheField name="Doc Type" numFmtId="0">
      <sharedItems containsBlank="1" count="3">
        <s v="Invoice"/>
        <s v="Credit Note"/>
        <m/>
      </sharedItems>
    </cacheField>
    <cacheField name="Vendor Code" numFmtId="0">
      <sharedItems containsBlank="1"/>
    </cacheField>
    <cacheField name="Company" numFmtId="0">
      <sharedItems containsMixedTypes="1" containsNumber="1" containsInteger="1" minValue="0" maxValue="0" count="4">
        <s v="Samsung South Africa"/>
        <s v="Dell Technologies"/>
        <s v="Local PC Parts"/>
        <n v="0"/>
      </sharedItems>
    </cacheField>
    <cacheField name="Reference" numFmtId="0">
      <sharedItems/>
    </cacheField>
    <cacheField name="Excl VAT" numFmtId="0">
      <sharedItems containsString="0" containsBlank="1" containsNumber="1" containsInteger="1" minValue="-5000" maxValue="50000"/>
    </cacheField>
    <cacheField name="VAT (15%)" numFmtId="0">
      <sharedItems containsSemiMixedTypes="0" containsString="0" containsNumber="1" containsInteger="1" minValue="-750" maxValue="7500"/>
    </cacheField>
    <cacheField name="Total" numFmtId="0">
      <sharedItems containsSemiMixedTypes="0" containsString="0" containsNumber="1" containsInteger="1" minValue="-5750" maxValue="57500"/>
    </cacheField>
    <cacheField name="Due Date" numFmtId="14">
      <sharedItems containsSemiMixedTypes="0" containsNonDate="0" containsDate="1" containsString="0" minDate="1899-12-30T00:00:00" maxDate="2026-06-05T00:00:00"/>
    </cacheField>
    <cacheField name="Rec Status" numFmtId="0">
      <sharedItems containsMixedTypes="1" containsNumber="1" containsInteger="1" minValue="-5750" maxValue="57500"/>
    </cacheField>
    <cacheField name="Days Overdue" numFmtId="1">
      <sharedItems containsSemiMixedTypes="0" containsString="0" containsNumber="1" containsInteger="1" minValue="-3" maxValue="48"/>
    </cacheField>
    <cacheField name="Priority" numFmtId="0">
      <sharedItems count="2">
        <s v="URGENT"/>
        <s v="Within Terms"/>
      </sharedItems>
    </cacheField>
  </cacheFields>
  <extLst>
    <ext xmlns:x14="http://schemas.microsoft.com/office/spreadsheetml/2009/9/main" uri="{725AE2AE-9491-48be-B2B4-4EB974FC3084}">
      <x14:pivotCacheDefinition pivotCacheId="117405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3-15T00:00:00"/>
    <x v="0"/>
    <s v="TCH-001"/>
    <x v="0"/>
    <s v="S-990"/>
    <n v="50000"/>
    <n v="7500"/>
    <n v="57500"/>
    <d v="2026-04-14T00:00:00"/>
    <n v="57500"/>
    <n v="48"/>
    <x v="0"/>
  </r>
  <r>
    <d v="2026-05-02T00:00:00"/>
    <x v="0"/>
    <s v="TCH-002"/>
    <x v="1"/>
    <s v="D-112"/>
    <n v="12000"/>
    <n v="1800"/>
    <n v="13800"/>
    <d v="2026-05-17T00:00:00"/>
    <s v="NOT ON STATEMENT"/>
    <n v="0"/>
    <x v="1"/>
  </r>
  <r>
    <d v="2026-05-03T00:00:00"/>
    <x v="1"/>
    <s v="TCH-001"/>
    <x v="0"/>
    <s v="CR-50"/>
    <n v="-5000"/>
    <n v="-750"/>
    <n v="-5750"/>
    <d v="2026-06-02T00:00:00"/>
    <n v="-5750"/>
    <n v="-1"/>
    <x v="1"/>
  </r>
  <r>
    <d v="2026-05-04T00:00:00"/>
    <x v="0"/>
    <s v="TCH-003"/>
    <x v="2"/>
    <s v="LPC-01"/>
    <n v="2000"/>
    <n v="0"/>
    <n v="2000"/>
    <d v="2026-05-04T00:00:00"/>
    <s v="NOT ON STATEMENT"/>
    <n v="-2"/>
    <x v="1"/>
  </r>
  <r>
    <d v="2026-05-05T00:00:00"/>
    <x v="0"/>
    <s v="TCH-001"/>
    <x v="0"/>
    <s v="S-1002"/>
    <n v="8500"/>
    <n v="1275"/>
    <n v="9775"/>
    <d v="2026-06-04T00:00:00"/>
    <n v="9775"/>
    <n v="-3"/>
    <x v="1"/>
  </r>
  <r>
    <m/>
    <x v="2"/>
    <m/>
    <x v="3"/>
    <s v="S-1010"/>
    <m/>
    <n v="0"/>
    <n v="0"/>
    <d v="1899-12-30T00:00:00"/>
    <n v="230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EA24C-D095-4CEE-9A75-EEC6593C10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12">
    <pivotField numFmtId="14" showAll="0"/>
    <pivotField axis="axisPage" multipleItemSelectionAllowed="1" showAll="0">
      <items count="4">
        <item x="1"/>
        <item x="0"/>
        <item h="1" x="2"/>
        <item t="default"/>
      </items>
    </pivotField>
    <pivotField showAll="0"/>
    <pivotField axis="axisRow" showAll="0">
      <items count="5">
        <item x="1"/>
        <item x="2"/>
        <item x="0"/>
        <item x="3"/>
        <item t="default"/>
      </items>
    </pivotField>
    <pivotField showAll="0"/>
    <pivotField showAll="0"/>
    <pivotField showAll="0"/>
    <pivotField dataField="1" showAll="0"/>
    <pivotField numFmtId="14" showAll="0"/>
    <pivotField showAll="0"/>
    <pivotField numFmtId="1" showAll="0"/>
    <pivotField showAll="0">
      <items count="3">
        <item x="0"/>
        <item x="1"/>
        <item t="default"/>
      </items>
    </pivotField>
  </pivotFields>
  <rowFields count="1">
    <field x="3"/>
  </rowFields>
  <rowItems count="4">
    <i>
      <x/>
    </i>
    <i>
      <x v="1"/>
    </i>
    <i>
      <x v="2"/>
    </i>
    <i t="grand">
      <x/>
    </i>
  </rowItems>
  <colItems count="1">
    <i/>
  </colItems>
  <pageFields count="1">
    <pageField fld="1" hier="-1"/>
  </pageFields>
  <dataFields count="1">
    <dataField name="Total Outstanding (ZAR)" fld="7" baseField="3" baseItem="0"/>
  </dataFields>
  <formats count="12">
    <format dxfId="51">
      <pivotArea type="all" dataOnly="0" outline="0" fieldPosition="0"/>
    </format>
    <format dxfId="50">
      <pivotArea outline="0" collapsedLevelsAreSubtotals="1" fieldPosition="0"/>
    </format>
    <format dxfId="49">
      <pivotArea field="3" type="button" dataOnly="0" labelOnly="1" outline="0" axis="axisRow"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3" type="button" dataOnly="0" labelOnly="1" outline="0" axis="axisRow" fieldPosition="0"/>
    </format>
    <format dxfId="42">
      <pivotArea dataOnly="0" labelOnly="1" fieldPosition="0">
        <references count="1">
          <reference field="3" count="0"/>
        </references>
      </pivotArea>
    </format>
    <format dxfId="41">
      <pivotArea dataOnly="0" labelOnly="1" grandRow="1" outline="0" fieldPosition="0"/>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_Type" xr10:uid="{CD23B4E1-23DB-47CC-83E8-4C0A2514336B}" sourceName="Doc Type">
  <pivotTables>
    <pivotTable tabId="4" name="PivotTable1"/>
  </pivotTables>
  <data>
    <tabular pivotCacheId="117405452">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9188C85-1D84-4B3E-8EFB-AC29A743F1CD}" sourceName="Priority">
  <pivotTables>
    <pivotTable tabId="4" name="PivotTable1"/>
  </pivotTables>
  <data>
    <tabular pivotCacheId="1174054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oc Type" xr10:uid="{EC364A2B-8F46-49C1-BFB2-9FBA64381B43}" cache="Slicer_Doc_Type" caption="Doc Type" rowHeight="241300"/>
  <slicer name="Priority" xr10:uid="{BD5CE3FC-496E-4CF7-9CA3-303638FFA0FD}" cache="Slicer_Priority" caption="Prior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E53500-C71C-4B23-9CD8-9F8A3EA88897}" name="Table2" displayName="Table2" ref="A1:D4" totalsRowShown="0" headerRowDxfId="61" dataDxfId="60">
  <autoFilter ref="A1:D4" xr:uid="{12E53500-C71C-4B23-9CD8-9F8A3EA88897}"/>
  <tableColumns count="4">
    <tableColumn id="1" xr3:uid="{324EF82E-0770-4DB6-AEA7-4D6F2A7B677E}" name="Vendor Code" dataDxfId="59"/>
    <tableColumn id="2" xr3:uid="{5D8656A0-9F5C-45D8-94F7-C725EB6255FB}" name="Company" dataDxfId="58"/>
    <tableColumn id="3" xr3:uid="{C0FF4540-E14E-4691-852A-82F9B681CF3B}" name="Terms (Days)" dataDxfId="57"/>
    <tableColumn id="4" xr3:uid="{BCE03492-1833-4488-AA80-751C505AEF21}" name="VAT Registered?"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54172-2F78-4404-BC4C-A4F766CCA8D5}" name="Table1" displayName="Table1" ref="A1:M7" totalsRowShown="0" dataDxfId="75">
  <autoFilter ref="A1:M7" xr:uid="{88E54172-2F78-4404-BC4C-A4F766CCA8D5}"/>
  <tableColumns count="13">
    <tableColumn id="1" xr3:uid="{8A41E141-7FDB-4506-9927-01359AED0C26}" name="Date" dataDxfId="74"/>
    <tableColumn id="2" xr3:uid="{B7EEC2FE-76EA-4C23-81FE-54DB5D98B0DB}" name="Doc Type" dataDxfId="73"/>
    <tableColumn id="3" xr3:uid="{F422C121-8212-4496-855F-BB7568670D68}" name="Vendor Code" dataDxfId="72"/>
    <tableColumn id="4" xr3:uid="{20DBF267-45CF-4AF5-A536-78CA8204EB59}" name="Company" dataDxfId="71">
      <calculatedColumnFormula>_xlfn.XLOOKUP(C2, DATA_Vendors!A:A, DATA_Vendors!B:B)</calculatedColumnFormula>
    </tableColumn>
    <tableColumn id="5" xr3:uid="{F4FC9B1C-CB42-49A2-B667-8D40FE4DE8B7}" name="Reference" dataDxfId="70"/>
    <tableColumn id="6" xr3:uid="{9FE01334-32EB-4336-B1A8-8740B2C5BD1E}" name="Excl VAT" dataDxfId="69"/>
    <tableColumn id="7" xr3:uid="{F3C7FD2D-3721-42A3-9B28-7847CBF48DF8}" name="VAT (15%)" dataDxfId="68">
      <calculatedColumnFormula>IF(_xlfn.XLOOKUP(C2, DATA_Vendors!A:A, DATA_Vendors!D:D) = "Yes", F2*0.15, 0)</calculatedColumnFormula>
    </tableColumn>
    <tableColumn id="8" xr3:uid="{DACF3C98-57FE-4E83-94EB-F0208D58BE72}" name="Total" dataDxfId="67">
      <calculatedColumnFormula>F2 + G2</calculatedColumnFormula>
    </tableColumn>
    <tableColumn id="9" xr3:uid="{128CD607-3424-40BA-A778-0316AD36C03F}" name="Due Date" dataDxfId="66">
      <calculatedColumnFormula>A2 + _xlfn.XLOOKUP(C2, DATA_Vendors!A:A, DATA_Vendors!C:C)</calculatedColumnFormula>
    </tableColumn>
    <tableColumn id="10" xr3:uid="{4B337549-61C4-48FF-B422-D433530503BC}" name="Rec Status" dataDxfId="65">
      <calculatedColumnFormula>_xlfn.XLOOKUP(Table1[[#This Row],[Reference]], EXT_Statement!A:A, EXT_Statement!B:B, "NOT ON STATEMENT")</calculatedColumnFormula>
    </tableColumn>
    <tableColumn id="11" xr3:uid="{B89658DF-6E5E-42E9-95E7-5E45D0D6A4E8}" name="Days Overdue" dataDxfId="64">
      <calculatedColumnFormula>IF(ISBLANK(Table1[[#This Row],[Date]]), 0, TODAY() - Table1[[#This Row],[Date]])</calculatedColumnFormula>
    </tableColumn>
    <tableColumn id="12" xr3:uid="{B1841E50-1602-47A7-8D80-438DD6EB7101}" name="Priority" dataDxfId="63">
      <calculatedColumnFormula>IF(Table1[[#This Row],[Days Overdue]] &gt; 30, "URGENT", "Within Terms")</calculatedColumnFormula>
    </tableColumn>
    <tableColumn id="13" xr3:uid="{477BA527-2E4E-4DD8-9E30-6A5681745316}" name="Vat Reg?" dataDxfId="62">
      <calculatedColumnFormula>_xlfn.XLOOKUP(Table1[[#This Row],[Vendor Code]], DATA_Vendors!A:A, DATA_Vendors!D:D)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B12AAC-E29C-4C70-8903-BD73418A727F}" name="Table4" displayName="Table4" ref="A1:B5" totalsRowShown="0" headerRowDxfId="55" dataDxfId="54">
  <autoFilter ref="A1:B5" xr:uid="{37B12AAC-E29C-4C70-8903-BD73418A727F}"/>
  <tableColumns count="2">
    <tableColumn id="1" xr3:uid="{FE86865C-800B-40F4-8EBA-770865556EAE}" name="Reference" dataDxfId="53"/>
    <tableColumn id="2" xr3:uid="{B7D9CFF3-1565-4EE4-9ED9-E0A756D32B49}" name="Statement Amount" dataDxfId="5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E0EE42-0187-4168-9FAB-37926DC87510}" name="Table3" displayName="Table3" ref="D1:D2" totalsRowShown="0" headerRowDxfId="39" dataDxfId="38">
  <autoFilter ref="D1:D2" xr:uid="{9EE0EE42-0187-4168-9FAB-37926DC87510}"/>
  <tableColumns count="1">
    <tableColumn id="1" xr3:uid="{03CD1EC0-5EFE-4DB7-8E90-74EB9331B018}" name="SARS Input VAT Summary (May 2026)" dataDxfId="37">
      <calculatedColumnFormula>SUMIFS(Table1[VAT (15%)],Table1[Vat Reg?], "Yes")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A7" sqref="A7"/>
    </sheetView>
  </sheetViews>
  <sheetFormatPr defaultColWidth="9.42578125" defaultRowHeight="15" x14ac:dyDescent="0.2"/>
  <cols>
    <col min="1" max="1" width="18.140625" style="2" bestFit="1" customWidth="1"/>
    <col min="2" max="2" width="23.85546875" style="2" bestFit="1" customWidth="1"/>
    <col min="3" max="3" width="18.140625" style="2" bestFit="1" customWidth="1"/>
    <col min="4" max="4" width="22.28515625" style="2" bestFit="1" customWidth="1"/>
    <col min="5" max="16384" width="9.42578125" style="2"/>
  </cols>
  <sheetData>
    <row r="1" spans="1:4" x14ac:dyDescent="0.2">
      <c r="A1" s="2" t="s">
        <v>0</v>
      </c>
      <c r="B1" s="2" t="s">
        <v>1</v>
      </c>
      <c r="C1" s="2" t="s">
        <v>3</v>
      </c>
      <c r="D1" s="2" t="s">
        <v>2</v>
      </c>
    </row>
    <row r="2" spans="1:4" x14ac:dyDescent="0.2">
      <c r="A2" s="2" t="s">
        <v>4</v>
      </c>
      <c r="B2" s="2" t="s">
        <v>5</v>
      </c>
      <c r="C2" s="2">
        <v>30</v>
      </c>
      <c r="D2" s="2" t="s">
        <v>6</v>
      </c>
    </row>
    <row r="3" spans="1:4" x14ac:dyDescent="0.2">
      <c r="A3" s="2" t="s">
        <v>7</v>
      </c>
      <c r="B3" s="2" t="s">
        <v>8</v>
      </c>
      <c r="C3" s="2">
        <v>15</v>
      </c>
      <c r="D3" s="2" t="s">
        <v>6</v>
      </c>
    </row>
    <row r="4" spans="1:4" x14ac:dyDescent="0.2">
      <c r="A4" s="2" t="s">
        <v>9</v>
      </c>
      <c r="B4" s="2" t="s">
        <v>10</v>
      </c>
      <c r="C4" s="2">
        <v>0</v>
      </c>
      <c r="D4" s="2"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1567-C1EC-4695-80FE-5340509E5332}">
  <dimension ref="A1:M7"/>
  <sheetViews>
    <sheetView workbookViewId="0">
      <selection activeCell="A7" sqref="A7"/>
    </sheetView>
  </sheetViews>
  <sheetFormatPr defaultRowHeight="15" x14ac:dyDescent="0.25"/>
  <cols>
    <col min="1" max="2" width="12.7109375" bestFit="1" customWidth="1"/>
    <col min="3" max="3" width="14.85546875" bestFit="1" customWidth="1"/>
    <col min="4" max="4" width="23.85546875" bestFit="1" customWidth="1"/>
    <col min="5" max="5" width="12.42578125" bestFit="1" customWidth="1"/>
    <col min="6" max="6" width="10.7109375" bestFit="1" customWidth="1"/>
    <col min="7" max="7" width="12.28515625" bestFit="1" customWidth="1"/>
    <col min="8" max="8" width="7.7109375" bestFit="1" customWidth="1"/>
    <col min="9" max="9" width="12.7109375" bestFit="1" customWidth="1"/>
    <col min="10" max="10" width="24.28515625" bestFit="1" customWidth="1"/>
    <col min="11" max="11" width="15.7109375" style="1" bestFit="1" customWidth="1"/>
    <col min="12" max="12" width="14.42578125" bestFit="1" customWidth="1"/>
    <col min="13" max="13" width="11" bestFit="1" customWidth="1"/>
  </cols>
  <sheetData>
    <row r="1" spans="1:13" x14ac:dyDescent="0.25">
      <c r="A1" t="s">
        <v>12</v>
      </c>
      <c r="B1" t="s">
        <v>13</v>
      </c>
      <c r="C1" t="s">
        <v>0</v>
      </c>
      <c r="D1" t="s">
        <v>1</v>
      </c>
      <c r="E1" t="s">
        <v>14</v>
      </c>
      <c r="F1" t="s">
        <v>15</v>
      </c>
      <c r="G1" t="s">
        <v>16</v>
      </c>
      <c r="H1" t="s">
        <v>17</v>
      </c>
      <c r="I1" t="s">
        <v>18</v>
      </c>
      <c r="J1" t="s">
        <v>28</v>
      </c>
      <c r="K1" s="1" t="s">
        <v>32</v>
      </c>
      <c r="L1" t="s">
        <v>33</v>
      </c>
      <c r="M1" t="s">
        <v>35</v>
      </c>
    </row>
    <row r="2" spans="1:13" ht="15.75" x14ac:dyDescent="0.25">
      <c r="A2" s="3">
        <v>46143</v>
      </c>
      <c r="B2" s="2" t="s">
        <v>19</v>
      </c>
      <c r="C2" s="2" t="s">
        <v>4</v>
      </c>
      <c r="D2" s="2" t="str">
        <f>_xlfn.XLOOKUP(C2, DATA_Vendors!A:A, DATA_Vendors!B:B)</f>
        <v>Samsung South Africa</v>
      </c>
      <c r="E2" s="2" t="s">
        <v>20</v>
      </c>
      <c r="F2" s="2">
        <v>50000</v>
      </c>
      <c r="G2" s="2">
        <f>IF(_xlfn.XLOOKUP(C2, DATA_Vendors!A:A, DATA_Vendors!D:D) = "Yes", F2*0.15, 0)</f>
        <v>7500</v>
      </c>
      <c r="H2" s="2">
        <f t="shared" ref="H2:H7" si="0">F2 + G2</f>
        <v>57500</v>
      </c>
      <c r="I2" s="3">
        <f>A2 + _xlfn.XLOOKUP(C2, DATA_Vendors!A:A, DATA_Vendors!C:C)</f>
        <v>46173</v>
      </c>
      <c r="J2" s="2">
        <f>_xlfn.XLOOKUP(Table1[[#This Row],[Reference]], EXT_Statement!A:A, EXT_Statement!B:B, "NOT ON STATEMENT")</f>
        <v>57500</v>
      </c>
      <c r="K2" s="4">
        <f ca="1">IF(ISBLANK(Table1[[#This Row],[Date]]), 0, TODAY() - Table1[[#This Row],[Date]])</f>
        <v>1</v>
      </c>
      <c r="L2" s="2" t="str">
        <f ca="1">IF(Table1[[#This Row],[Days Overdue]] &gt; 30, "URGENT", "Within Terms")</f>
        <v>Within Terms</v>
      </c>
      <c r="M2" s="2" t="str">
        <f>_xlfn.XLOOKUP(Table1[[#This Row],[Vendor Code]], DATA_Vendors!A:A, DATA_Vendors!D:D)</f>
        <v>Yes</v>
      </c>
    </row>
    <row r="3" spans="1:13" ht="15.75" x14ac:dyDescent="0.25">
      <c r="A3" s="3">
        <v>46144</v>
      </c>
      <c r="B3" s="2" t="s">
        <v>19</v>
      </c>
      <c r="C3" s="2" t="s">
        <v>7</v>
      </c>
      <c r="D3" s="2" t="str">
        <f>_xlfn.XLOOKUP(C3, DATA_Vendors!A:A, DATA_Vendors!B:B)</f>
        <v>Dell Technologies</v>
      </c>
      <c r="E3" s="2" t="s">
        <v>21</v>
      </c>
      <c r="F3" s="2">
        <v>12000</v>
      </c>
      <c r="G3" s="2">
        <f>IF(_xlfn.XLOOKUP(C3, DATA_Vendors!A:A, DATA_Vendors!D:D) = "Yes", F3*0.15, 0)</f>
        <v>1800</v>
      </c>
      <c r="H3" s="2">
        <f t="shared" si="0"/>
        <v>13800</v>
      </c>
      <c r="I3" s="3">
        <f>A3 + _xlfn.XLOOKUP(C3, DATA_Vendors!A:A, DATA_Vendors!C:C)</f>
        <v>46159</v>
      </c>
      <c r="J3" s="2" t="str">
        <f>_xlfn.XLOOKUP(Table1[[#This Row],[Reference]], EXT_Statement!A:A, EXT_Statement!B:B, "NOT ON STATEMENT")</f>
        <v>NOT ON STATEMENT</v>
      </c>
      <c r="K3" s="4">
        <f ca="1">IF(ISBLANK(Table1[[#This Row],[Date]]), 0, TODAY() - Table1[[#This Row],[Date]])</f>
        <v>0</v>
      </c>
      <c r="L3" s="2" t="str">
        <f ca="1">IF(Table1[[#This Row],[Days Overdue]] &gt; 30, "URGENT", "Within Terms")</f>
        <v>Within Terms</v>
      </c>
      <c r="M3" s="2" t="str">
        <f>_xlfn.XLOOKUP(Table1[[#This Row],[Vendor Code]], DATA_Vendors!A:A, DATA_Vendors!D:D)</f>
        <v>Yes</v>
      </c>
    </row>
    <row r="4" spans="1:13" ht="15.75" x14ac:dyDescent="0.25">
      <c r="A4" s="3">
        <v>46145</v>
      </c>
      <c r="B4" s="2" t="s">
        <v>22</v>
      </c>
      <c r="C4" s="2" t="s">
        <v>4</v>
      </c>
      <c r="D4" s="2" t="str">
        <f>_xlfn.XLOOKUP(C4, DATA_Vendors!A:A, DATA_Vendors!B:B)</f>
        <v>Samsung South Africa</v>
      </c>
      <c r="E4" s="2" t="s">
        <v>23</v>
      </c>
      <c r="F4" s="2">
        <v>-5000</v>
      </c>
      <c r="G4" s="2">
        <f>IF(_xlfn.XLOOKUP(C4, DATA_Vendors!A:A, DATA_Vendors!D:D) = "Yes", F4*0.15, 0)</f>
        <v>-750</v>
      </c>
      <c r="H4" s="2">
        <f t="shared" si="0"/>
        <v>-5750</v>
      </c>
      <c r="I4" s="3">
        <f>A4 + _xlfn.XLOOKUP(C4, DATA_Vendors!A:A, DATA_Vendors!C:C)</f>
        <v>46175</v>
      </c>
      <c r="J4" s="2">
        <f>_xlfn.XLOOKUP(Table1[[#This Row],[Reference]], EXT_Statement!A:A, EXT_Statement!B:B, "NOT ON STATEMENT")</f>
        <v>-5750</v>
      </c>
      <c r="K4" s="4">
        <f ca="1">IF(ISBLANK(Table1[[#This Row],[Date]]), 0, TODAY() - Table1[[#This Row],[Date]])</f>
        <v>-1</v>
      </c>
      <c r="L4" s="2" t="str">
        <f ca="1">IF(Table1[[#This Row],[Days Overdue]] &gt; 30, "URGENT", "Within Terms")</f>
        <v>Within Terms</v>
      </c>
      <c r="M4" s="2" t="str">
        <f>_xlfn.XLOOKUP(Table1[[#This Row],[Vendor Code]], DATA_Vendors!A:A, DATA_Vendors!D:D)</f>
        <v>Yes</v>
      </c>
    </row>
    <row r="5" spans="1:13" ht="15.75" x14ac:dyDescent="0.25">
      <c r="A5" s="3">
        <v>46146</v>
      </c>
      <c r="B5" s="2" t="s">
        <v>19</v>
      </c>
      <c r="C5" s="2" t="s">
        <v>9</v>
      </c>
      <c r="D5" s="2" t="str">
        <f>_xlfn.XLOOKUP(C5, DATA_Vendors!A:A, DATA_Vendors!B:B)</f>
        <v>Local PC Parts</v>
      </c>
      <c r="E5" s="2" t="s">
        <v>24</v>
      </c>
      <c r="F5" s="2">
        <v>2000</v>
      </c>
      <c r="G5" s="2">
        <f>IF(_xlfn.XLOOKUP(C5, DATA_Vendors!A:A, DATA_Vendors!D:D) = "Yes", F5*0.15, 0)</f>
        <v>0</v>
      </c>
      <c r="H5" s="2">
        <f t="shared" si="0"/>
        <v>2000</v>
      </c>
      <c r="I5" s="3">
        <f>A5 + _xlfn.XLOOKUP(C5, DATA_Vendors!A:A, DATA_Vendors!C:C)</f>
        <v>46146</v>
      </c>
      <c r="J5" s="2" t="str">
        <f>_xlfn.XLOOKUP(Table1[[#This Row],[Reference]], EXT_Statement!A:A, EXT_Statement!B:B, "NOT ON STATEMENT")</f>
        <v>NOT ON STATEMENT</v>
      </c>
      <c r="K5" s="4">
        <f ca="1">IF(ISBLANK(Table1[[#This Row],[Date]]), 0, TODAY() - Table1[[#This Row],[Date]])</f>
        <v>-2</v>
      </c>
      <c r="L5" s="2" t="str">
        <f ca="1">IF(Table1[[#This Row],[Days Overdue]] &gt; 30, "URGENT", "Within Terms")</f>
        <v>Within Terms</v>
      </c>
      <c r="M5" s="2" t="str">
        <f>_xlfn.XLOOKUP(Table1[[#This Row],[Vendor Code]], DATA_Vendors!A:A, DATA_Vendors!D:D)</f>
        <v>No</v>
      </c>
    </row>
    <row r="6" spans="1:13" ht="15.75" x14ac:dyDescent="0.25">
      <c r="A6" s="3">
        <v>46147</v>
      </c>
      <c r="B6" s="2" t="s">
        <v>19</v>
      </c>
      <c r="C6" s="2" t="s">
        <v>4</v>
      </c>
      <c r="D6" s="2" t="str">
        <f>_xlfn.XLOOKUP(C6, DATA_Vendors!A:A, DATA_Vendors!B:B)</f>
        <v>Samsung South Africa</v>
      </c>
      <c r="E6" s="2" t="s">
        <v>25</v>
      </c>
      <c r="F6" s="2">
        <v>8500</v>
      </c>
      <c r="G6" s="2">
        <f>IF(_xlfn.XLOOKUP(C6, DATA_Vendors!A:A, DATA_Vendors!D:D) = "Yes", F6*0.15, 0)</f>
        <v>1275</v>
      </c>
      <c r="H6" s="2">
        <f t="shared" si="0"/>
        <v>9775</v>
      </c>
      <c r="I6" s="3">
        <f>A6 + _xlfn.XLOOKUP(C6, DATA_Vendors!A:A, DATA_Vendors!C:C)</f>
        <v>46177</v>
      </c>
      <c r="J6" s="2">
        <f>_xlfn.XLOOKUP(Table1[[#This Row],[Reference]], EXT_Statement!A:A, EXT_Statement!B:B, "NOT ON STATEMENT")</f>
        <v>9775</v>
      </c>
      <c r="K6" s="4">
        <f ca="1">IF(ISBLANK(Table1[[#This Row],[Date]]), 0, TODAY() - Table1[[#This Row],[Date]])</f>
        <v>-3</v>
      </c>
      <c r="L6" s="2" t="str">
        <f ca="1">IF(Table1[[#This Row],[Days Overdue]] &gt; 30, "URGENT", "Within Terms")</f>
        <v>Within Terms</v>
      </c>
      <c r="M6" s="2" t="str">
        <f>_xlfn.XLOOKUP(Table1[[#This Row],[Vendor Code]], DATA_Vendors!A:A, DATA_Vendors!D:D)</f>
        <v>Yes</v>
      </c>
    </row>
    <row r="7" spans="1:13" ht="15.75" x14ac:dyDescent="0.25">
      <c r="A7" s="5"/>
      <c r="B7" s="6"/>
      <c r="C7" s="6"/>
      <c r="D7" s="6">
        <f>_xlfn.XLOOKUP(C7, DATA_Vendors!A:A, DATA_Vendors!B:B)</f>
        <v>0</v>
      </c>
      <c r="E7" s="6" t="s">
        <v>27</v>
      </c>
      <c r="F7" s="6"/>
      <c r="G7" s="6">
        <f>IF(_xlfn.XLOOKUP(C7, DATA_Vendors!A:A, DATA_Vendors!D:D) = "Yes", F7*0.15, 0)</f>
        <v>0</v>
      </c>
      <c r="H7" s="6">
        <f t="shared" si="0"/>
        <v>0</v>
      </c>
      <c r="I7" s="5">
        <f>A7 + _xlfn.XLOOKUP(C7, DATA_Vendors!A:A, DATA_Vendors!C:C)</f>
        <v>0</v>
      </c>
      <c r="J7" s="7">
        <f>_xlfn.XLOOKUP(Table1[[#This Row],[Reference]], EXT_Statement!A:A, EXT_Statement!B:B, "NOT ON STATEMENT")</f>
        <v>2300</v>
      </c>
      <c r="K7" s="4">
        <f ca="1">IF(ISBLANK(Table1[[#This Row],[Date]]), 0, TODAY() - Table1[[#This Row],[Date]])</f>
        <v>0</v>
      </c>
      <c r="L7" s="2" t="str">
        <f ca="1">IF(Table1[[#This Row],[Days Overdue]] &gt; 30, "URGENT", "Within Terms")</f>
        <v>Within Terms</v>
      </c>
      <c r="M7" s="2">
        <f>_xlfn.XLOOKUP(Table1[[#This Row],[Vendor Code]], DATA_Vendors!A:A, DATA_Vendors!D:D)</f>
        <v>0</v>
      </c>
    </row>
  </sheetData>
  <conditionalFormatting sqref="H1:H1048576">
    <cfRule type="cellIs" dxfId="36" priority="1" operator="lessThan">
      <formula>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E85A-BD6A-4236-A225-34678041180A}">
  <dimension ref="A1:B5"/>
  <sheetViews>
    <sheetView workbookViewId="0">
      <selection activeCell="B18" sqref="B18"/>
    </sheetView>
  </sheetViews>
  <sheetFormatPr defaultRowHeight="15" x14ac:dyDescent="0.2"/>
  <cols>
    <col min="1" max="1" width="14.7109375" style="2" bestFit="1" customWidth="1"/>
    <col min="2" max="2" width="24.140625" style="2" bestFit="1" customWidth="1"/>
    <col min="3" max="16384" width="9.140625" style="2"/>
  </cols>
  <sheetData>
    <row r="1" spans="1:2" x14ac:dyDescent="0.2">
      <c r="A1" s="2" t="s">
        <v>14</v>
      </c>
      <c r="B1" s="2" t="s">
        <v>26</v>
      </c>
    </row>
    <row r="2" spans="1:2" x14ac:dyDescent="0.2">
      <c r="A2" s="2" t="s">
        <v>20</v>
      </c>
      <c r="B2" s="2">
        <v>57500</v>
      </c>
    </row>
    <row r="3" spans="1:2" x14ac:dyDescent="0.2">
      <c r="A3" s="2" t="s">
        <v>23</v>
      </c>
      <c r="B3" s="2">
        <v>-5750</v>
      </c>
    </row>
    <row r="4" spans="1:2" x14ac:dyDescent="0.2">
      <c r="A4" s="2" t="s">
        <v>25</v>
      </c>
      <c r="B4" s="2">
        <v>9775</v>
      </c>
    </row>
    <row r="5" spans="1:2" x14ac:dyDescent="0.2">
      <c r="A5" s="2" t="s">
        <v>27</v>
      </c>
      <c r="B5" s="2">
        <v>2300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F000-C47E-4D71-A9AF-0631C0EDA392}">
  <dimension ref="A1:D8"/>
  <sheetViews>
    <sheetView workbookViewId="0">
      <selection activeCell="F10" sqref="F10"/>
    </sheetView>
  </sheetViews>
  <sheetFormatPr defaultRowHeight="15" x14ac:dyDescent="0.2"/>
  <cols>
    <col min="1" max="1" width="23.85546875" style="2" bestFit="1" customWidth="1"/>
    <col min="2" max="2" width="27.85546875" style="2" bestFit="1" customWidth="1"/>
    <col min="3" max="3" width="9.140625" style="2"/>
    <col min="4" max="4" width="45.5703125" style="2" bestFit="1" customWidth="1"/>
    <col min="5" max="16384" width="9.140625" style="2"/>
  </cols>
  <sheetData>
    <row r="1" spans="1:4" x14ac:dyDescent="0.2">
      <c r="A1" s="8" t="s">
        <v>13</v>
      </c>
      <c r="B1" s="9" t="s">
        <v>36</v>
      </c>
      <c r="D1" s="2" t="s">
        <v>34</v>
      </c>
    </row>
    <row r="2" spans="1:4" x14ac:dyDescent="0.2">
      <c r="D2" s="2">
        <f>SUMIFS(Table1[VAT (15%)],Table1[Vat Reg?], "Yes")</f>
        <v>9825</v>
      </c>
    </row>
    <row r="3" spans="1:4" x14ac:dyDescent="0.2">
      <c r="A3" s="8" t="s">
        <v>29</v>
      </c>
      <c r="B3" s="9" t="s">
        <v>31</v>
      </c>
    </row>
    <row r="4" spans="1:4" x14ac:dyDescent="0.2">
      <c r="A4" s="10" t="s">
        <v>8</v>
      </c>
      <c r="B4" s="11">
        <v>13800</v>
      </c>
    </row>
    <row r="5" spans="1:4" x14ac:dyDescent="0.2">
      <c r="A5" s="10" t="s">
        <v>10</v>
      </c>
      <c r="B5" s="11">
        <v>2000</v>
      </c>
    </row>
    <row r="6" spans="1:4" x14ac:dyDescent="0.2">
      <c r="A6" s="10" t="s">
        <v>5</v>
      </c>
      <c r="B6" s="11">
        <v>61525</v>
      </c>
    </row>
    <row r="7" spans="1:4" x14ac:dyDescent="0.2">
      <c r="A7" s="10" t="s">
        <v>30</v>
      </c>
      <c r="B7" s="11">
        <v>77325</v>
      </c>
    </row>
    <row r="8" spans="1:4" x14ac:dyDescent="0.2">
      <c r="A8"/>
      <c r="B8"/>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DATA_Vendors</vt:lpstr>
      <vt:lpstr>WORK_Invoice_Log</vt:lpstr>
      <vt:lpstr>EXT_Statement</vt:lpstr>
      <vt:lpstr>FIN_Dashboard</vt:lpstr>
      <vt:lpstr>Invoices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Aiden Benjamin</dc:creator>
  <cp:lastModifiedBy>Aiden Benjamin</cp:lastModifiedBy>
  <dcterms:created xsi:type="dcterms:W3CDTF">2015-06-05T18:17:20Z</dcterms:created>
  <dcterms:modified xsi:type="dcterms:W3CDTF">2026-05-02T09:54:28Z</dcterms:modified>
</cp:coreProperties>
</file>